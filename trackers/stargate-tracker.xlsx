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Outreach" state="visible" r:id="rId5"/>
    <sheet sheetId="3" name="Merchant_Stats" state="visible" r:id="rId6"/>
    <sheet sheetId="4" name="Product_Feedback" state="visible" r:id="rId7"/>
    <sheet sheetId="5" name="Customers" state="visible" r:id="rId8"/>
    <sheet sheetId="6" name="Finance" state="visible" r:id="rId9"/>
    <sheet sheetId="7" name="Dashboard" state="visible" r:id="rId10"/>
  </sheets>
  <calcPr calcId="171027"/>
</workbook>
</file>

<file path=xl/sharedStrings.xml><?xml version="1.0" encoding="utf-8"?>
<sst xmlns="http://schemas.openxmlformats.org/spreadsheetml/2006/main" count="169" uniqueCount="130">
  <si>
    <t>Sheet</t>
  </si>
  <si>
    <t>How to use</t>
  </si>
  <si>
    <t>Outreach</t>
  </si>
  <si>
    <t>Log every prospect. When Stage -&gt; Closed, copy Shop/Slug into Customers + Finance (revenue row). Set Next_FollowUp; overdue dates highlight red.</t>
  </si>
  <si>
    <t>Merchant_Stats</t>
  </si>
  <si>
    <t>Every Monday copy per-shop numbers from /dashboard. Total + Conversion% auto-calc. 1 row per merchant per week.</t>
  </si>
  <si>
    <t>Product_Feedback</t>
  </si>
  <si>
    <t>Every merchant comment about StarGate itself (bug, UX, feature, pricing, churn risk). Triage weekly: Priority + Status; follow up with the merchant before renewals.</t>
  </si>
  <si>
    <t>Customers</t>
  </si>
  <si>
    <t>One row per PAYING shop. Renewal_Due within 7 days highlights amber. Overdue + Active highlights red.</t>
  </si>
  <si>
    <t>Finance</t>
  </si>
  <si>
    <t>One row per money movement. Balance + Month auto-calc. Revenue cats: Subscription-Monthly/Yearly, Setup fee. Expense cats: Domain, Printing/Poster, Travel/Fuel, Gateway fee.</t>
  </si>
  <si>
    <t>Dashboard</t>
  </si>
  <si>
    <t>Formulas only — do not type here. Funnel counts, conversion %, Active MRR, cash MTD, renewals due.</t>
  </si>
  <si>
    <t>Privacy</t>
  </si>
  <si>
    <t>Template ships with test-cafe sample only. Do NOT commit real phones / txn refs — keep business data in your local copy.</t>
  </si>
  <si>
    <t>Regenerate</t>
  </si>
  <si>
    <t>Edit scripts/generate-tracker.mjs then run: npm run tracker</t>
  </si>
  <si>
    <t>ID</t>
  </si>
  <si>
    <t>Date_Added</t>
  </si>
  <si>
    <t>Shop_Name</t>
  </si>
  <si>
    <t>Category</t>
  </si>
  <si>
    <t>Owner_Name</t>
  </si>
  <si>
    <t>Phone</t>
  </si>
  <si>
    <t>Area</t>
  </si>
  <si>
    <t>Stage</t>
  </si>
  <si>
    <t>Last_Contact</t>
  </si>
  <si>
    <t>Next_FollowUp</t>
  </si>
  <si>
    <t>Demo_Done</t>
  </si>
  <si>
    <t>Objection</t>
  </si>
  <si>
    <t>Expected_MRR</t>
  </si>
  <si>
    <t>Lost_Reason</t>
  </si>
  <si>
    <t>Notes</t>
  </si>
  <si>
    <t>Days_In_Stage</t>
  </si>
  <si>
    <t>Test Cafe</t>
  </si>
  <si>
    <t>Cafe</t>
  </si>
  <si>
    <t>Sample Owner</t>
  </si>
  <si>
    <t/>
  </si>
  <si>
    <t>Sample Area</t>
  </si>
  <si>
    <t>Demo</t>
  </si>
  <si>
    <t>Y</t>
  </si>
  <si>
    <t>Price</t>
  </si>
  <si>
    <t>Sample — replace with your first real prospect.</t>
  </si>
  <si>
    <t>Week_Start_Mon</t>
  </si>
  <si>
    <t>Slug</t>
  </si>
  <si>
    <t>Count_1_3_Private</t>
  </si>
  <si>
    <t>Count_4_5</t>
  </si>
  <si>
    <t>Total_Feedbacks</t>
  </si>
  <si>
    <t>Review_Clicks</t>
  </si>
  <si>
    <t>Review_Conversion_Pct</t>
  </si>
  <si>
    <t>Poster_On_Wall</t>
  </si>
  <si>
    <t>ROI_Sent</t>
  </si>
  <si>
    <t>test-cafe</t>
  </si>
  <si>
    <t>Sample — copy real numbers from /dashboard each Monday.</t>
  </si>
  <si>
    <t>Date</t>
  </si>
  <si>
    <t>Given_By</t>
  </si>
  <si>
    <t>Channel</t>
  </si>
  <si>
    <t>Type</t>
  </si>
  <si>
    <t>Feedback_Verbatim</t>
  </si>
  <si>
    <t>Priority</t>
  </si>
  <si>
    <t>Status</t>
  </si>
  <si>
    <t>Action_Taken</t>
  </si>
  <si>
    <t>Followed_Up</t>
  </si>
  <si>
    <t>Days_Open</t>
  </si>
  <si>
    <t>Revisit</t>
  </si>
  <si>
    <t>Feature request</t>
  </si>
  <si>
    <t>Sample — QR poster text too small to read from the wall.</t>
  </si>
  <si>
    <t>P2-important</t>
  </si>
  <si>
    <t>Open</t>
  </si>
  <si>
    <t>N</t>
  </si>
  <si>
    <t>Sample — replace with the first real merchant comment.</t>
  </si>
  <si>
    <t>Customer_ID</t>
  </si>
  <si>
    <t>Plan</t>
  </si>
  <si>
    <t>Start_Date</t>
  </si>
  <si>
    <t>Renewal_Due</t>
  </si>
  <si>
    <t>Amount_Paid</t>
  </si>
  <si>
    <t>Pay_Mode</t>
  </si>
  <si>
    <t>Txn_Ref</t>
  </si>
  <si>
    <t>C-001</t>
  </si>
  <si>
    <t>Monthly ₹299</t>
  </si>
  <si>
    <t>UPI</t>
  </si>
  <si>
    <t>Active</t>
  </si>
  <si>
    <t>Sample — replace with first paying shop.</t>
  </si>
  <si>
    <t>Detail_Merchant</t>
  </si>
  <si>
    <t>Amount_In</t>
  </si>
  <si>
    <t>Amount_Out</t>
  </si>
  <si>
    <t>Balance</t>
  </si>
  <si>
    <t>Month</t>
  </si>
  <si>
    <t>Revenue</t>
  </si>
  <si>
    <t>Subscription-Monthly</t>
  </si>
  <si>
    <t>test-cafe — sample</t>
  </si>
  <si>
    <t>Expense</t>
  </si>
  <si>
    <t>Printing/Poster</t>
  </si>
  <si>
    <t>Laminated demo poster (~Rs 20)</t>
  </si>
  <si>
    <t>Metric</t>
  </si>
  <si>
    <t>Value</t>
  </si>
  <si>
    <t>Formula / note</t>
  </si>
  <si>
    <t>Funnel — Prospect</t>
  </si>
  <si>
    <t>Count of Outreach Stage</t>
  </si>
  <si>
    <t>Funnel — Lead</t>
  </si>
  <si>
    <t>Funnel — Walk-in</t>
  </si>
  <si>
    <t>Funnel — Demo</t>
  </si>
  <si>
    <t>Funnel — Negotiation</t>
  </si>
  <si>
    <t>Funnel — Closed</t>
  </si>
  <si>
    <t>Funnel — Lost</t>
  </si>
  <si>
    <t>Close rate (Closed / decided)</t>
  </si>
  <si>
    <t>Format as % in Excel</t>
  </si>
  <si>
    <t>Active Monthly subs</t>
  </si>
  <si>
    <t>Plan strings must match dropdown</t>
  </si>
  <si>
    <t>Active Yearly subs</t>
  </si>
  <si>
    <t>Active MRR (Rs)</t>
  </si>
  <si>
    <t>Yearly amortised /12</t>
  </si>
  <si>
    <t>Cash IN this month (Rs)</t>
  </si>
  <si>
    <t>Uses Finance Month col</t>
  </si>
  <si>
    <t>Cash OUT this month (Rs)</t>
  </si>
  <si>
    <t>Net this month (Rs)</t>
  </si>
  <si>
    <t>Renewals due next 7d</t>
  </si>
  <si>
    <t>Chase on WhatsApp (SALES.md Day-30 loop)</t>
  </si>
  <si>
    <t>Renewals OVERDUE</t>
  </si>
  <si>
    <t>Visit beats 3 messages</t>
  </si>
  <si>
    <t>Feedbacks last 28d</t>
  </si>
  <si>
    <t>Review clicks last 28d</t>
  </si>
  <si>
    <t>ROI line for renewal WhatsApp</t>
  </si>
  <si>
    <t>Product feedback — Open</t>
  </si>
  <si>
    <t>Triage weekly; follow up before renewals</t>
  </si>
  <si>
    <t>Product feedback — P1 open</t>
  </si>
  <si>
    <t>Fix first</t>
  </si>
  <si>
    <t>Churn risks open</t>
  </si>
  <si>
    <t>Product feedback — Done 28d</t>
  </si>
  <si>
    <t>Velocity; reuse as renewal-WA proof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</si>
</sst>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3" fontId="0" fillId="0" borderId="0" xfId="0" applyNumberFormat="1"/>
    <xf numFmtId="9" fontId="0" fillId="0" borderId="0" xfId="0" applyNumberFormat="1"/>
    <xf numFmtId="3" fontId="1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7">
    <dxf>
      <fill>
        <patternFill patternType="solid">
          <bgColor rgb="FFFECAC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ECACA"/>
        </patternFill>
      </fill>
    </dxf>
    <dxf>
      <fill>
        <patternFill patternType="solid">
          <bgColor rgb="FFFEF3C7"/>
        </patternFill>
      </fill>
    </dxf>
    <dxf>
      <font>
        <b/>
        <color rgb="FFDC2626"/>
      </font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24" customWidth="1"/>
    <col min="4" max="4" width="12" customWidth="1"/>
    <col min="5" max="5" width="18" customWidth="1"/>
    <col min="6" max="7" width="16" customWidth="1"/>
    <col min="8" max="8" width="13" customWidth="1"/>
    <col min="9" max="10" width="14" customWidth="1"/>
    <col min="11" max="11" width="11" customWidth="1"/>
    <col min="12" max="12" width="16" customWidth="1"/>
    <col min="13" max="13" width="14" customWidth="1"/>
    <col min="14" max="14" width="20" customWidth="1"/>
    <col min="15" max="15" width="32" customWidth="1"/>
    <col min="16" max="16" width="14" customWidth="1"/>
  </cols>
  <sheetData>
    <row r="1" ht="22" customHeight="1" spans="1:16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4" t="s">
        <v>33</v>
      </c>
    </row>
    <row r="2" spans="1:16" x14ac:dyDescent="0.25">
      <c r="A2">
        <v>1</v>
      </c>
      <c r="B2" s="5">
        <v>46279.35324818287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s="5">
        <v>46279.35324818287</v>
      </c>
      <c r="J2" s="5">
        <v>46281.35324818287</v>
      </c>
      <c r="K2" t="s">
        <v>40</v>
      </c>
      <c r="L2" t="s">
        <v>41</v>
      </c>
      <c r="M2" s="6">
        <v>299</v>
      </c>
      <c r="N2" t="s">
        <v>37</v>
      </c>
      <c r="O2" t="s">
        <v>42</v>
      </c>
      <c r="P2">
        <f>IF(H2="Closed","",IF(I2="","",TODAY()-I2))</f>
      </c>
    </row>
    <row r="3" ht="18" customHeight="1" spans="2:16" x14ac:dyDescent="0.25">
      <c r="B3" s="5"/>
      <c r="I3" s="5"/>
      <c r="J3" s="5"/>
      <c r="M3" s="6"/>
      <c r="P3">
        <f>IF(H3="Closed","",IF(I3="","",TODAY()-I3))</f>
      </c>
    </row>
    <row r="4" ht="18" customHeight="1" spans="2:16" x14ac:dyDescent="0.25">
      <c r="B4" s="5"/>
      <c r="I4" s="5"/>
      <c r="J4" s="5"/>
      <c r="M4" s="6"/>
      <c r="P4">
        <f>IF(H4="Closed","",IF(I4="","",TODAY()-I4))</f>
      </c>
    </row>
    <row r="5" ht="18" customHeight="1" spans="2:16" x14ac:dyDescent="0.25">
      <c r="B5" s="5"/>
      <c r="I5" s="5"/>
      <c r="J5" s="5"/>
      <c r="M5" s="6"/>
      <c r="P5">
        <f>IF(H5="Closed","",IF(I5="","",TODAY()-I5))</f>
      </c>
    </row>
    <row r="6" ht="18" customHeight="1" spans="2:16" x14ac:dyDescent="0.25">
      <c r="B6" s="5"/>
      <c r="I6" s="5"/>
      <c r="J6" s="5"/>
      <c r="M6" s="6"/>
      <c r="P6">
        <f>IF(H6="Closed","",IF(I6="","",TODAY()-I6))</f>
      </c>
    </row>
    <row r="7" ht="18" customHeight="1" spans="2:16" x14ac:dyDescent="0.25">
      <c r="B7" s="5"/>
      <c r="I7" s="5"/>
      <c r="J7" s="5"/>
      <c r="M7" s="6"/>
      <c r="P7">
        <f>IF(H7="Closed","",IF(I7="","",TODAY()-I7))</f>
      </c>
    </row>
    <row r="8" ht="18" customHeight="1" spans="2:16" x14ac:dyDescent="0.25">
      <c r="B8" s="5"/>
      <c r="I8" s="5"/>
      <c r="J8" s="5"/>
      <c r="M8" s="6"/>
      <c r="P8">
        <f>IF(H8="Closed","",IF(I8="","",TODAY()-I8))</f>
      </c>
    </row>
    <row r="9" ht="18" customHeight="1" spans="2:16" x14ac:dyDescent="0.25">
      <c r="B9" s="5"/>
      <c r="I9" s="5"/>
      <c r="J9" s="5"/>
      <c r="M9" s="6"/>
      <c r="P9">
        <f>IF(H9="Closed","",IF(I9="","",TODAY()-I9))</f>
      </c>
    </row>
    <row r="10" ht="18" customHeight="1" spans="2:16" x14ac:dyDescent="0.25">
      <c r="B10" s="5"/>
      <c r="I10" s="5"/>
      <c r="J10" s="5"/>
      <c r="M10" s="6"/>
      <c r="P10">
        <f>IF(H10="Closed","",IF(I10="","",TODAY()-I10))</f>
      </c>
    </row>
    <row r="11" ht="18" customHeight="1" spans="2:16" x14ac:dyDescent="0.25">
      <c r="B11" s="5"/>
      <c r="I11" s="5"/>
      <c r="J11" s="5"/>
      <c r="M11" s="6"/>
      <c r="P11">
        <f>IF(H11="Closed","",IF(I11="","",TODAY()-I11))</f>
      </c>
    </row>
    <row r="12" ht="18" customHeight="1" spans="2:16" x14ac:dyDescent="0.25">
      <c r="B12" s="5"/>
      <c r="I12" s="5"/>
      <c r="J12" s="5"/>
      <c r="M12" s="6"/>
      <c r="P12">
        <f>IF(H12="Closed","",IF(I12="","",TODAY()-I12))</f>
      </c>
    </row>
    <row r="13" ht="18" customHeight="1" spans="2:16" x14ac:dyDescent="0.25">
      <c r="B13" s="5"/>
      <c r="I13" s="5"/>
      <c r="J13" s="5"/>
      <c r="M13" s="6"/>
      <c r="P13">
        <f>IF(H13="Closed","",IF(I13="","",TODAY()-I13))</f>
      </c>
    </row>
    <row r="14" ht="18" customHeight="1" spans="2:16" x14ac:dyDescent="0.25">
      <c r="B14" s="5"/>
      <c r="I14" s="5"/>
      <c r="J14" s="5"/>
      <c r="M14" s="6"/>
      <c r="P14">
        <f>IF(H14="Closed","",IF(I14="","",TODAY()-I14))</f>
      </c>
    </row>
    <row r="15" ht="18" customHeight="1" spans="2:16" x14ac:dyDescent="0.25">
      <c r="B15" s="5"/>
      <c r="I15" s="5"/>
      <c r="J15" s="5"/>
      <c r="M15" s="6"/>
      <c r="P15">
        <f>IF(H15="Closed","",IF(I15="","",TODAY()-I15))</f>
      </c>
    </row>
    <row r="16" ht="18" customHeight="1" spans="2:16" x14ac:dyDescent="0.25">
      <c r="B16" s="5"/>
      <c r="I16" s="5"/>
      <c r="J16" s="5"/>
      <c r="M16" s="6"/>
      <c r="P16">
        <f>IF(H16="Closed","",IF(I16="","",TODAY()-I16))</f>
      </c>
    </row>
    <row r="17" ht="18" customHeight="1" spans="2:16" x14ac:dyDescent="0.25">
      <c r="B17" s="5"/>
      <c r="I17" s="5"/>
      <c r="J17" s="5"/>
      <c r="M17" s="6"/>
      <c r="P17">
        <f>IF(H17="Closed","",IF(I17="","",TODAY()-I17))</f>
      </c>
    </row>
    <row r="18" ht="18" customHeight="1" spans="2:16" x14ac:dyDescent="0.25">
      <c r="B18" s="5"/>
      <c r="I18" s="5"/>
      <c r="J18" s="5"/>
      <c r="M18" s="6"/>
      <c r="P18">
        <f>IF(H18="Closed","",IF(I18="","",TODAY()-I18))</f>
      </c>
    </row>
    <row r="19" ht="18" customHeight="1" spans="2:16" x14ac:dyDescent="0.25">
      <c r="B19" s="5"/>
      <c r="I19" s="5"/>
      <c r="J19" s="5"/>
      <c r="M19" s="6"/>
      <c r="P19">
        <f>IF(H19="Closed","",IF(I19="","",TODAY()-I19))</f>
      </c>
    </row>
    <row r="20" ht="18" customHeight="1" spans="2:16" x14ac:dyDescent="0.25">
      <c r="B20" s="5"/>
      <c r="I20" s="5"/>
      <c r="J20" s="5"/>
      <c r="M20" s="6"/>
      <c r="P20">
        <f>IF(H20="Closed","",IF(I20="","",TODAY()-I20))</f>
      </c>
    </row>
    <row r="21" ht="18" customHeight="1" spans="2:16" x14ac:dyDescent="0.25">
      <c r="B21" s="5"/>
      <c r="I21" s="5"/>
      <c r="J21" s="5"/>
      <c r="M21" s="6"/>
      <c r="P21">
        <f>IF(H21="Closed","",IF(I21="","",TODAY()-I21))</f>
      </c>
    </row>
    <row r="22" ht="18" customHeight="1" spans="2:16" x14ac:dyDescent="0.25">
      <c r="B22" s="5"/>
      <c r="I22" s="5"/>
      <c r="J22" s="5"/>
      <c r="M22" s="6"/>
      <c r="P22">
        <f>IF(H22="Closed","",IF(I22="","",TODAY()-I22))</f>
      </c>
    </row>
    <row r="23" ht="18" customHeight="1" spans="2:16" x14ac:dyDescent="0.25">
      <c r="B23" s="5"/>
      <c r="I23" s="5"/>
      <c r="J23" s="5"/>
      <c r="M23" s="6"/>
      <c r="P23">
        <f>IF(H23="Closed","",IF(I23="","",TODAY()-I23))</f>
      </c>
    </row>
    <row r="24" ht="18" customHeight="1" spans="2:16" x14ac:dyDescent="0.25">
      <c r="B24" s="5"/>
      <c r="I24" s="5"/>
      <c r="J24" s="5"/>
      <c r="M24" s="6"/>
      <c r="P24">
        <f>IF(H24="Closed","",IF(I24="","",TODAY()-I24))</f>
      </c>
    </row>
    <row r="25" ht="18" customHeight="1" spans="2:16" x14ac:dyDescent="0.25">
      <c r="B25" s="5"/>
      <c r="I25" s="5"/>
      <c r="J25" s="5"/>
      <c r="M25" s="6"/>
      <c r="P25">
        <f>IF(H25="Closed","",IF(I25="","",TODAY()-I25))</f>
      </c>
    </row>
    <row r="26" ht="18" customHeight="1" spans="2:16" x14ac:dyDescent="0.25">
      <c r="B26" s="5"/>
      <c r="I26" s="5"/>
      <c r="J26" s="5"/>
      <c r="M26" s="6"/>
      <c r="P26">
        <f>IF(H26="Closed","",IF(I26="","",TODAY()-I26))</f>
      </c>
    </row>
    <row r="27" ht="18" customHeight="1" spans="2:16" x14ac:dyDescent="0.25">
      <c r="B27" s="5"/>
      <c r="I27" s="5"/>
      <c r="J27" s="5"/>
      <c r="M27" s="6"/>
      <c r="P27">
        <f>IF(H27="Closed","",IF(I27="","",TODAY()-I27))</f>
      </c>
    </row>
    <row r="28" ht="18" customHeight="1" spans="2:16" x14ac:dyDescent="0.25">
      <c r="B28" s="5"/>
      <c r="I28" s="5"/>
      <c r="J28" s="5"/>
      <c r="M28" s="6"/>
      <c r="P28">
        <f>IF(H28="Closed","",IF(I28="","",TODAY()-I28))</f>
      </c>
    </row>
    <row r="29" ht="18" customHeight="1" spans="2:16" x14ac:dyDescent="0.25">
      <c r="B29" s="5"/>
      <c r="I29" s="5"/>
      <c r="J29" s="5"/>
      <c r="M29" s="6"/>
      <c r="P29">
        <f>IF(H29="Closed","",IF(I29="","",TODAY()-I29))</f>
      </c>
    </row>
    <row r="30" ht="18" customHeight="1" spans="2:16" x14ac:dyDescent="0.25">
      <c r="B30" s="5"/>
      <c r="I30" s="5"/>
      <c r="J30" s="5"/>
      <c r="M30" s="6"/>
      <c r="P30">
        <f>IF(H30="Closed","",IF(I30="","",TODAY()-I30))</f>
      </c>
    </row>
    <row r="31" ht="18" customHeight="1" spans="2:16" x14ac:dyDescent="0.25">
      <c r="B31" s="5"/>
      <c r="I31" s="5"/>
      <c r="J31" s="5"/>
      <c r="M31" s="6"/>
      <c r="P31">
        <f>IF(H31="Closed","",IF(I31="","",TODAY()-I31))</f>
      </c>
    </row>
    <row r="32" ht="18" customHeight="1" spans="2:16" x14ac:dyDescent="0.25">
      <c r="B32" s="5"/>
      <c r="I32" s="5"/>
      <c r="J32" s="5"/>
      <c r="M32" s="6"/>
      <c r="P32">
        <f>IF(H32="Closed","",IF(I32="","",TODAY()-I32))</f>
      </c>
    </row>
    <row r="33" ht="18" customHeight="1" spans="2:16" x14ac:dyDescent="0.25">
      <c r="B33" s="5"/>
      <c r="I33" s="5"/>
      <c r="J33" s="5"/>
      <c r="M33" s="6"/>
      <c r="P33">
        <f>IF(H33="Closed","",IF(I33="","",TODAY()-I33))</f>
      </c>
    </row>
    <row r="34" ht="18" customHeight="1" spans="2:16" x14ac:dyDescent="0.25">
      <c r="B34" s="5"/>
      <c r="I34" s="5"/>
      <c r="J34" s="5"/>
      <c r="M34" s="6"/>
      <c r="P34">
        <f>IF(H34="Closed","",IF(I34="","",TODAY()-I34))</f>
      </c>
    </row>
    <row r="35" ht="18" customHeight="1" spans="2:16" x14ac:dyDescent="0.25">
      <c r="B35" s="5"/>
      <c r="I35" s="5"/>
      <c r="J35" s="5"/>
      <c r="M35" s="6"/>
      <c r="P35">
        <f>IF(H35="Closed","",IF(I35="","",TODAY()-I35))</f>
      </c>
    </row>
    <row r="36" ht="18" customHeight="1" spans="2:16" x14ac:dyDescent="0.25">
      <c r="B36" s="5"/>
      <c r="I36" s="5"/>
      <c r="J36" s="5"/>
      <c r="M36" s="6"/>
      <c r="P36">
        <f>IF(H36="Closed","",IF(I36="","",TODAY()-I36))</f>
      </c>
    </row>
    <row r="37" ht="18" customHeight="1" spans="2:16" x14ac:dyDescent="0.25">
      <c r="B37" s="5"/>
      <c r="I37" s="5"/>
      <c r="J37" s="5"/>
      <c r="M37" s="6"/>
      <c r="P37">
        <f>IF(H37="Closed","",IF(I37="","",TODAY()-I37))</f>
      </c>
    </row>
    <row r="38" ht="18" customHeight="1" spans="2:16" x14ac:dyDescent="0.25">
      <c r="B38" s="5"/>
      <c r="I38" s="5"/>
      <c r="J38" s="5"/>
      <c r="M38" s="6"/>
      <c r="P38">
        <f>IF(H38="Closed","",IF(I38="","",TODAY()-I38))</f>
      </c>
    </row>
    <row r="39" ht="18" customHeight="1" spans="2:16" x14ac:dyDescent="0.25">
      <c r="B39" s="5"/>
      <c r="I39" s="5"/>
      <c r="J39" s="5"/>
      <c r="M39" s="6"/>
      <c r="P39">
        <f>IF(H39="Closed","",IF(I39="","",TODAY()-I39))</f>
      </c>
    </row>
    <row r="40" ht="18" customHeight="1" spans="2:16" x14ac:dyDescent="0.25">
      <c r="B40" s="5"/>
      <c r="I40" s="5"/>
      <c r="J40" s="5"/>
      <c r="M40" s="6"/>
      <c r="P40">
        <f>IF(H40="Closed","",IF(I40="","",TODAY()-I40))</f>
      </c>
    </row>
    <row r="41" ht="18" customHeight="1" spans="2:16" x14ac:dyDescent="0.25">
      <c r="B41" s="5"/>
      <c r="I41" s="5"/>
      <c r="J41" s="5"/>
      <c r="M41" s="6"/>
      <c r="P41">
        <f>IF(H41="Closed","",IF(I41="","",TODAY()-I41))</f>
      </c>
    </row>
    <row r="42" ht="18" customHeight="1" spans="2:16" x14ac:dyDescent="0.25">
      <c r="B42" s="5"/>
      <c r="I42" s="5"/>
      <c r="J42" s="5"/>
      <c r="M42" s="6"/>
      <c r="P42">
        <f>IF(H42="Closed","",IF(I42="","",TODAY()-I42))</f>
      </c>
    </row>
    <row r="43" ht="18" customHeight="1" spans="2:16" x14ac:dyDescent="0.25">
      <c r="B43" s="5"/>
      <c r="I43" s="5"/>
      <c r="J43" s="5"/>
      <c r="M43" s="6"/>
      <c r="P43">
        <f>IF(H43="Closed","",IF(I43="","",TODAY()-I43))</f>
      </c>
    </row>
    <row r="44" ht="18" customHeight="1" spans="2:16" x14ac:dyDescent="0.25">
      <c r="B44" s="5"/>
      <c r="I44" s="5"/>
      <c r="J44" s="5"/>
      <c r="M44" s="6"/>
      <c r="P44">
        <f>IF(H44="Closed","",IF(I44="","",TODAY()-I44))</f>
      </c>
    </row>
    <row r="45" ht="18" customHeight="1" spans="2:16" x14ac:dyDescent="0.25">
      <c r="B45" s="5"/>
      <c r="I45" s="5"/>
      <c r="J45" s="5"/>
      <c r="M45" s="6"/>
      <c r="P45">
        <f>IF(H45="Closed","",IF(I45="","",TODAY()-I45))</f>
      </c>
    </row>
    <row r="46" ht="18" customHeight="1" spans="2:16" x14ac:dyDescent="0.25">
      <c r="B46" s="5"/>
      <c r="I46" s="5"/>
      <c r="J46" s="5"/>
      <c r="M46" s="6"/>
      <c r="P46">
        <f>IF(H46="Closed","",IF(I46="","",TODAY()-I46))</f>
      </c>
    </row>
    <row r="47" ht="18" customHeight="1" spans="2:16" x14ac:dyDescent="0.25">
      <c r="B47" s="5"/>
      <c r="I47" s="5"/>
      <c r="J47" s="5"/>
      <c r="M47" s="6"/>
      <c r="P47">
        <f>IF(H47="Closed","",IF(I47="","",TODAY()-I47))</f>
      </c>
    </row>
    <row r="48" ht="18" customHeight="1" spans="2:16" x14ac:dyDescent="0.25">
      <c r="B48" s="5"/>
      <c r="I48" s="5"/>
      <c r="J48" s="5"/>
      <c r="M48" s="6"/>
      <c r="P48">
        <f>IF(H48="Closed","",IF(I48="","",TODAY()-I48))</f>
      </c>
    </row>
    <row r="49" ht="18" customHeight="1" spans="2:16" x14ac:dyDescent="0.25">
      <c r="B49" s="5"/>
      <c r="I49" s="5"/>
      <c r="J49" s="5"/>
      <c r="M49" s="6"/>
      <c r="P49">
        <f>IF(H49="Closed","",IF(I49="","",TODAY()-I49))</f>
      </c>
    </row>
    <row r="50" ht="18" customHeight="1" spans="2:16" x14ac:dyDescent="0.25">
      <c r="B50" s="5"/>
      <c r="I50" s="5"/>
      <c r="J50" s="5"/>
      <c r="M50" s="6"/>
      <c r="P50">
        <f>IF(H50="Closed","",IF(I50="","",TODAY()-I50))</f>
      </c>
    </row>
    <row r="51" ht="18" customHeight="1" spans="2:16" x14ac:dyDescent="0.25">
      <c r="B51" s="5"/>
      <c r="I51" s="5"/>
      <c r="J51" s="5"/>
      <c r="M51" s="6"/>
      <c r="P51">
        <f>IF(H51="Closed","",IF(I51="","",TODAY()-I51))</f>
      </c>
    </row>
    <row r="52" ht="18" customHeight="1" spans="2:16" x14ac:dyDescent="0.25">
      <c r="B52" s="5"/>
      <c r="I52" s="5"/>
      <c r="J52" s="5"/>
      <c r="M52" s="6"/>
      <c r="P52">
        <f>IF(H52="Closed","",IF(I52="","",TODAY()-I52))</f>
      </c>
    </row>
    <row r="53" ht="18" customHeight="1" spans="2:16" x14ac:dyDescent="0.25">
      <c r="B53" s="5"/>
      <c r="I53" s="5"/>
      <c r="J53" s="5"/>
      <c r="M53" s="6"/>
      <c r="P53">
        <f>IF(H53="Closed","",IF(I53="","",TODAY()-I53))</f>
      </c>
    </row>
    <row r="54" ht="18" customHeight="1" spans="2:16" x14ac:dyDescent="0.25">
      <c r="B54" s="5"/>
      <c r="I54" s="5"/>
      <c r="J54" s="5"/>
      <c r="M54" s="6"/>
      <c r="P54">
        <f>IF(H54="Closed","",IF(I54="","",TODAY()-I54))</f>
      </c>
    </row>
    <row r="55" ht="18" customHeight="1" spans="2:16" x14ac:dyDescent="0.25">
      <c r="B55" s="5"/>
      <c r="I55" s="5"/>
      <c r="J55" s="5"/>
      <c r="M55" s="6"/>
      <c r="P55">
        <f>IF(H55="Closed","",IF(I55="","",TODAY()-I55))</f>
      </c>
    </row>
    <row r="56" ht="18" customHeight="1" spans="2:16" x14ac:dyDescent="0.25">
      <c r="B56" s="5"/>
      <c r="I56" s="5"/>
      <c r="J56" s="5"/>
      <c r="M56" s="6"/>
      <c r="P56">
        <f>IF(H56="Closed","",IF(I56="","",TODAY()-I56))</f>
      </c>
    </row>
    <row r="57" ht="18" customHeight="1" spans="2:16" x14ac:dyDescent="0.25">
      <c r="B57" s="5"/>
      <c r="I57" s="5"/>
      <c r="J57" s="5"/>
      <c r="M57" s="6"/>
      <c r="P57">
        <f>IF(H57="Closed","",IF(I57="","",TODAY()-I57))</f>
      </c>
    </row>
    <row r="58" ht="18" customHeight="1" spans="2:16" x14ac:dyDescent="0.25">
      <c r="B58" s="5"/>
      <c r="I58" s="5"/>
      <c r="J58" s="5"/>
      <c r="M58" s="6"/>
      <c r="P58">
        <f>IF(H58="Closed","",IF(I58="","",TODAY()-I58))</f>
      </c>
    </row>
    <row r="59" ht="18" customHeight="1" spans="2:16" x14ac:dyDescent="0.25">
      <c r="B59" s="5"/>
      <c r="I59" s="5"/>
      <c r="J59" s="5"/>
      <c r="M59" s="6"/>
      <c r="P59">
        <f>IF(H59="Closed","",IF(I59="","",TODAY()-I59))</f>
      </c>
    </row>
    <row r="60" ht="18" customHeight="1" spans="2:16" x14ac:dyDescent="0.25">
      <c r="B60" s="5"/>
      <c r="I60" s="5"/>
      <c r="J60" s="5"/>
      <c r="M60" s="6"/>
      <c r="P60">
        <f>IF(H60="Closed","",IF(I60="","",TODAY()-I60))</f>
      </c>
    </row>
    <row r="61" ht="18" customHeight="1" spans="2:16" x14ac:dyDescent="0.25">
      <c r="B61" s="5"/>
      <c r="I61" s="5"/>
      <c r="J61" s="5"/>
      <c r="M61" s="6"/>
      <c r="P61">
        <f>IF(H61="Closed","",IF(I61="","",TODAY()-I61))</f>
      </c>
    </row>
    <row r="62" ht="18" customHeight="1" spans="2:16" x14ac:dyDescent="0.25">
      <c r="B62" s="5"/>
      <c r="I62" s="5"/>
      <c r="J62" s="5"/>
      <c r="M62" s="6"/>
      <c r="P62">
        <f>IF(H62="Closed","",IF(I62="","",TODAY()-I62))</f>
      </c>
    </row>
    <row r="63" ht="18" customHeight="1" spans="2:16" x14ac:dyDescent="0.25">
      <c r="B63" s="5"/>
      <c r="I63" s="5"/>
      <c r="J63" s="5"/>
      <c r="M63" s="6"/>
      <c r="P63">
        <f>IF(H63="Closed","",IF(I63="","",TODAY()-I63))</f>
      </c>
    </row>
    <row r="64" ht="18" customHeight="1" spans="2:16" x14ac:dyDescent="0.25">
      <c r="B64" s="5"/>
      <c r="I64" s="5"/>
      <c r="J64" s="5"/>
      <c r="M64" s="6"/>
      <c r="P64">
        <f>IF(H64="Closed","",IF(I64="","",TODAY()-I64))</f>
      </c>
    </row>
    <row r="65" ht="18" customHeight="1" spans="2:16" x14ac:dyDescent="0.25">
      <c r="B65" s="5"/>
      <c r="I65" s="5"/>
      <c r="J65" s="5"/>
      <c r="M65" s="6"/>
      <c r="P65">
        <f>IF(H65="Closed","",IF(I65="","",TODAY()-I65))</f>
      </c>
    </row>
    <row r="66" ht="18" customHeight="1" spans="2:16" x14ac:dyDescent="0.25">
      <c r="B66" s="5"/>
      <c r="I66" s="5"/>
      <c r="J66" s="5"/>
      <c r="M66" s="6"/>
      <c r="P66">
        <f>IF(H66="Closed","",IF(I66="","",TODAY()-I66))</f>
      </c>
    </row>
    <row r="67" ht="18" customHeight="1" spans="2:16" x14ac:dyDescent="0.25">
      <c r="B67" s="5"/>
      <c r="I67" s="5"/>
      <c r="J67" s="5"/>
      <c r="M67" s="6"/>
      <c r="P67">
        <f>IF(H67="Closed","",IF(I67="","",TODAY()-I67))</f>
      </c>
    </row>
    <row r="68" ht="18" customHeight="1" spans="2:16" x14ac:dyDescent="0.25">
      <c r="B68" s="5"/>
      <c r="I68" s="5"/>
      <c r="J68" s="5"/>
      <c r="M68" s="6"/>
      <c r="P68">
        <f>IF(H68="Closed","",IF(I68="","",TODAY()-I68))</f>
      </c>
    </row>
    <row r="69" ht="18" customHeight="1" spans="2:16" x14ac:dyDescent="0.25">
      <c r="B69" s="5"/>
      <c r="I69" s="5"/>
      <c r="J69" s="5"/>
      <c r="M69" s="6"/>
      <c r="P69">
        <f>IF(H69="Closed","",IF(I69="","",TODAY()-I69))</f>
      </c>
    </row>
    <row r="70" ht="18" customHeight="1" spans="2:16" x14ac:dyDescent="0.25">
      <c r="B70" s="5"/>
      <c r="I70" s="5"/>
      <c r="J70" s="5"/>
      <c r="M70" s="6"/>
      <c r="P70">
        <f>IF(H70="Closed","",IF(I70="","",TODAY()-I70))</f>
      </c>
    </row>
    <row r="71" ht="18" customHeight="1" spans="2:16" x14ac:dyDescent="0.25">
      <c r="B71" s="5"/>
      <c r="I71" s="5"/>
      <c r="J71" s="5"/>
      <c r="M71" s="6"/>
      <c r="P71">
        <f>IF(H71="Closed","",IF(I71="","",TODAY()-I71))</f>
      </c>
    </row>
    <row r="72" ht="18" customHeight="1" spans="2:16" x14ac:dyDescent="0.25">
      <c r="B72" s="5"/>
      <c r="I72" s="5"/>
      <c r="J72" s="5"/>
      <c r="M72" s="6"/>
      <c r="P72">
        <f>IF(H72="Closed","",IF(I72="","",TODAY()-I72))</f>
      </c>
    </row>
    <row r="73" ht="18" customHeight="1" spans="2:16" x14ac:dyDescent="0.25">
      <c r="B73" s="5"/>
      <c r="I73" s="5"/>
      <c r="J73" s="5"/>
      <c r="M73" s="6"/>
      <c r="P73">
        <f>IF(H73="Closed","",IF(I73="","",TODAY()-I73))</f>
      </c>
    </row>
    <row r="74" ht="18" customHeight="1" spans="2:16" x14ac:dyDescent="0.25">
      <c r="B74" s="5"/>
      <c r="I74" s="5"/>
      <c r="J74" s="5"/>
      <c r="M74" s="6"/>
      <c r="P74">
        <f>IF(H74="Closed","",IF(I74="","",TODAY()-I74))</f>
      </c>
    </row>
    <row r="75" ht="18" customHeight="1" spans="2:16" x14ac:dyDescent="0.25">
      <c r="B75" s="5"/>
      <c r="I75" s="5"/>
      <c r="J75" s="5"/>
      <c r="M75" s="6"/>
      <c r="P75">
        <f>IF(H75="Closed","",IF(I75="","",TODAY()-I75))</f>
      </c>
    </row>
    <row r="76" ht="18" customHeight="1" spans="2:16" x14ac:dyDescent="0.25">
      <c r="B76" s="5"/>
      <c r="I76" s="5"/>
      <c r="J76" s="5"/>
      <c r="M76" s="6"/>
      <c r="P76">
        <f>IF(H76="Closed","",IF(I76="","",TODAY()-I76))</f>
      </c>
    </row>
    <row r="77" ht="18" customHeight="1" spans="2:16" x14ac:dyDescent="0.25">
      <c r="B77" s="5"/>
      <c r="I77" s="5"/>
      <c r="J77" s="5"/>
      <c r="M77" s="6"/>
      <c r="P77">
        <f>IF(H77="Closed","",IF(I77="","",TODAY()-I77))</f>
      </c>
    </row>
    <row r="78" ht="18" customHeight="1" spans="2:16" x14ac:dyDescent="0.25">
      <c r="B78" s="5"/>
      <c r="I78" s="5"/>
      <c r="J78" s="5"/>
      <c r="M78" s="6"/>
      <c r="P78">
        <f>IF(H78="Closed","",IF(I78="","",TODAY()-I78))</f>
      </c>
    </row>
    <row r="79" ht="18" customHeight="1" spans="2:16" x14ac:dyDescent="0.25">
      <c r="B79" s="5"/>
      <c r="I79" s="5"/>
      <c r="J79" s="5"/>
      <c r="M79" s="6"/>
      <c r="P79">
        <f>IF(H79="Closed","",IF(I79="","",TODAY()-I79))</f>
      </c>
    </row>
    <row r="80" ht="18" customHeight="1" spans="2:16" x14ac:dyDescent="0.25">
      <c r="B80" s="5"/>
      <c r="I80" s="5"/>
      <c r="J80" s="5"/>
      <c r="M80" s="6"/>
      <c r="P80">
        <f>IF(H80="Closed","",IF(I80="","",TODAY()-I80))</f>
      </c>
    </row>
    <row r="81" ht="18" customHeight="1" spans="2:16" x14ac:dyDescent="0.25">
      <c r="B81" s="5"/>
      <c r="I81" s="5"/>
      <c r="J81" s="5"/>
      <c r="M81" s="6"/>
      <c r="P81">
        <f>IF(H81="Closed","",IF(I81="","",TODAY()-I81))</f>
      </c>
    </row>
    <row r="82" ht="18" customHeight="1" spans="2:16" x14ac:dyDescent="0.25">
      <c r="B82" s="5"/>
      <c r="I82" s="5"/>
      <c r="J82" s="5"/>
      <c r="M82" s="6"/>
      <c r="P82">
        <f>IF(H82="Closed","",IF(I82="","",TODAY()-I82))</f>
      </c>
    </row>
    <row r="83" ht="18" customHeight="1" spans="2:16" x14ac:dyDescent="0.25">
      <c r="B83" s="5"/>
      <c r="I83" s="5"/>
      <c r="J83" s="5"/>
      <c r="M83" s="6"/>
      <c r="P83">
        <f>IF(H83="Closed","",IF(I83="","",TODAY()-I83))</f>
      </c>
    </row>
    <row r="84" ht="18" customHeight="1" spans="2:16" x14ac:dyDescent="0.25">
      <c r="B84" s="5"/>
      <c r="I84" s="5"/>
      <c r="J84" s="5"/>
      <c r="M84" s="6"/>
      <c r="P84">
        <f>IF(H84="Closed","",IF(I84="","",TODAY()-I84))</f>
      </c>
    </row>
    <row r="85" ht="18" customHeight="1" spans="2:16" x14ac:dyDescent="0.25">
      <c r="B85" s="5"/>
      <c r="I85" s="5"/>
      <c r="J85" s="5"/>
      <c r="M85" s="6"/>
      <c r="P85">
        <f>IF(H85="Closed","",IF(I85="","",TODAY()-I85))</f>
      </c>
    </row>
    <row r="86" ht="18" customHeight="1" spans="2:16" x14ac:dyDescent="0.25">
      <c r="B86" s="5"/>
      <c r="I86" s="5"/>
      <c r="J86" s="5"/>
      <c r="M86" s="6"/>
      <c r="P86">
        <f>IF(H86="Closed","",IF(I86="","",TODAY()-I86))</f>
      </c>
    </row>
    <row r="87" ht="18" customHeight="1" spans="2:16" x14ac:dyDescent="0.25">
      <c r="B87" s="5"/>
      <c r="I87" s="5"/>
      <c r="J87" s="5"/>
      <c r="M87" s="6"/>
      <c r="P87">
        <f>IF(H87="Closed","",IF(I87="","",TODAY()-I87))</f>
      </c>
    </row>
    <row r="88" ht="18" customHeight="1" spans="2:16" x14ac:dyDescent="0.25">
      <c r="B88" s="5"/>
      <c r="I88" s="5"/>
      <c r="J88" s="5"/>
      <c r="M88" s="6"/>
      <c r="P88">
        <f>IF(H88="Closed","",IF(I88="","",TODAY()-I88))</f>
      </c>
    </row>
    <row r="89" ht="18" customHeight="1" spans="2:16" x14ac:dyDescent="0.25">
      <c r="B89" s="5"/>
      <c r="I89" s="5"/>
      <c r="J89" s="5"/>
      <c r="M89" s="6"/>
      <c r="P89">
        <f>IF(H89="Closed","",IF(I89="","",TODAY()-I89))</f>
      </c>
    </row>
    <row r="90" ht="18" customHeight="1" spans="2:16" x14ac:dyDescent="0.25">
      <c r="B90" s="5"/>
      <c r="I90" s="5"/>
      <c r="J90" s="5"/>
      <c r="M90" s="6"/>
      <c r="P90">
        <f>IF(H90="Closed","",IF(I90="","",TODAY()-I90))</f>
      </c>
    </row>
    <row r="91" ht="18" customHeight="1" spans="2:16" x14ac:dyDescent="0.25">
      <c r="B91" s="5"/>
      <c r="I91" s="5"/>
      <c r="J91" s="5"/>
      <c r="M91" s="6"/>
      <c r="P91">
        <f>IF(H91="Closed","",IF(I91="","",TODAY()-I91))</f>
      </c>
    </row>
    <row r="92" ht="18" customHeight="1" spans="2:16" x14ac:dyDescent="0.25">
      <c r="B92" s="5"/>
      <c r="I92" s="5"/>
      <c r="J92" s="5"/>
      <c r="M92" s="6"/>
      <c r="P92">
        <f>IF(H92="Closed","",IF(I92="","",TODAY()-I92))</f>
      </c>
    </row>
    <row r="93" ht="18" customHeight="1" spans="2:16" x14ac:dyDescent="0.25">
      <c r="B93" s="5"/>
      <c r="I93" s="5"/>
      <c r="J93" s="5"/>
      <c r="M93" s="6"/>
      <c r="P93">
        <f>IF(H93="Closed","",IF(I93="","",TODAY()-I93))</f>
      </c>
    </row>
    <row r="94" ht="18" customHeight="1" spans="2:16" x14ac:dyDescent="0.25">
      <c r="B94" s="5"/>
      <c r="I94" s="5"/>
      <c r="J94" s="5"/>
      <c r="M94" s="6"/>
      <c r="P94">
        <f>IF(H94="Closed","",IF(I94="","",TODAY()-I94))</f>
      </c>
    </row>
    <row r="95" ht="18" customHeight="1" spans="2:16" x14ac:dyDescent="0.25">
      <c r="B95" s="5"/>
      <c r="I95" s="5"/>
      <c r="J95" s="5"/>
      <c r="M95" s="6"/>
      <c r="P95">
        <f>IF(H95="Closed","",IF(I95="","",TODAY()-I95))</f>
      </c>
    </row>
    <row r="96" ht="18" customHeight="1" spans="2:16" x14ac:dyDescent="0.25">
      <c r="B96" s="5"/>
      <c r="I96" s="5"/>
      <c r="J96" s="5"/>
      <c r="M96" s="6"/>
      <c r="P96">
        <f>IF(H96="Closed","",IF(I96="","",TODAY()-I96))</f>
      </c>
    </row>
    <row r="97" ht="18" customHeight="1" spans="2:16" x14ac:dyDescent="0.25">
      <c r="B97" s="5"/>
      <c r="I97" s="5"/>
      <c r="J97" s="5"/>
      <c r="M97" s="6"/>
      <c r="P97">
        <f>IF(H97="Closed","",IF(I97="","",TODAY()-I97))</f>
      </c>
    </row>
    <row r="98" ht="18" customHeight="1" spans="2:16" x14ac:dyDescent="0.25">
      <c r="B98" s="5"/>
      <c r="I98" s="5"/>
      <c r="J98" s="5"/>
      <c r="M98" s="6"/>
      <c r="P98">
        <f>IF(H98="Closed","",IF(I98="","",TODAY()-I98))</f>
      </c>
    </row>
    <row r="99" ht="18" customHeight="1" spans="2:16" x14ac:dyDescent="0.25">
      <c r="B99" s="5"/>
      <c r="I99" s="5"/>
      <c r="J99" s="5"/>
      <c r="M99" s="6"/>
      <c r="P99">
        <f>IF(H99="Closed","",IF(I99="","",TODAY()-I99))</f>
      </c>
    </row>
    <row r="100" ht="18" customHeight="1" spans="2:16" x14ac:dyDescent="0.25">
      <c r="B100" s="5"/>
      <c r="I100" s="5"/>
      <c r="J100" s="5"/>
      <c r="M100" s="6"/>
      <c r="P100">
        <f>IF(H100="Closed","",IF(I100="","",TODAY()-I100))</f>
      </c>
    </row>
    <row r="101" ht="18" customHeight="1" spans="2:16" x14ac:dyDescent="0.25">
      <c r="B101" s="5"/>
      <c r="I101" s="5"/>
      <c r="J101" s="5"/>
      <c r="M101" s="6"/>
      <c r="P101">
        <f>IF(H101="Closed","",IF(I101="","",TODAY()-I101))</f>
      </c>
    </row>
    <row r="102" ht="18" customHeight="1" spans="2:16" x14ac:dyDescent="0.25">
      <c r="B102" s="5"/>
      <c r="I102" s="5"/>
      <c r="J102" s="5"/>
      <c r="M102" s="6"/>
      <c r="P102">
        <f>IF(H102="Closed","",IF(I102="","",TODAY()-I102))</f>
      </c>
    </row>
    <row r="103" ht="18" customHeight="1" spans="2:16" x14ac:dyDescent="0.25">
      <c r="B103" s="5"/>
      <c r="I103" s="5"/>
      <c r="J103" s="5"/>
      <c r="M103" s="6"/>
      <c r="P103">
        <f>IF(H103="Closed","",IF(I103="","",TODAY()-I103))</f>
      </c>
    </row>
    <row r="104" ht="18" customHeight="1" spans="2:16" x14ac:dyDescent="0.25">
      <c r="B104" s="5"/>
      <c r="I104" s="5"/>
      <c r="J104" s="5"/>
      <c r="M104" s="6"/>
      <c r="P104">
        <f>IF(H104="Closed","",IF(I104="","",TODAY()-I104))</f>
      </c>
    </row>
    <row r="105" ht="18" customHeight="1" spans="2:16" x14ac:dyDescent="0.25">
      <c r="B105" s="5"/>
      <c r="I105" s="5"/>
      <c r="J105" s="5"/>
      <c r="M105" s="6"/>
      <c r="P105">
        <f>IF(H105="Closed","",IF(I105="","",TODAY()-I105))</f>
      </c>
    </row>
    <row r="106" ht="18" customHeight="1" spans="2:16" x14ac:dyDescent="0.25">
      <c r="B106" s="5"/>
      <c r="I106" s="5"/>
      <c r="J106" s="5"/>
      <c r="M106" s="6"/>
      <c r="P106">
        <f>IF(H106="Closed","",IF(I106="","",TODAY()-I106))</f>
      </c>
    </row>
    <row r="107" ht="18" customHeight="1" spans="2:16" x14ac:dyDescent="0.25">
      <c r="B107" s="5"/>
      <c r="I107" s="5"/>
      <c r="J107" s="5"/>
      <c r="M107" s="6"/>
      <c r="P107">
        <f>IF(H107="Closed","",IF(I107="","",TODAY()-I107))</f>
      </c>
    </row>
    <row r="108" ht="18" customHeight="1" spans="2:16" x14ac:dyDescent="0.25">
      <c r="B108" s="5"/>
      <c r="I108" s="5"/>
      <c r="J108" s="5"/>
      <c r="M108" s="6"/>
      <c r="P108">
        <f>IF(H108="Closed","",IF(I108="","",TODAY()-I108))</f>
      </c>
    </row>
    <row r="109" ht="18" customHeight="1" spans="2:16" x14ac:dyDescent="0.25">
      <c r="B109" s="5"/>
      <c r="I109" s="5"/>
      <c r="J109" s="5"/>
      <c r="M109" s="6"/>
      <c r="P109">
        <f>IF(H109="Closed","",IF(I109="","",TODAY()-I109))</f>
      </c>
    </row>
    <row r="110" ht="18" customHeight="1" spans="2:16" x14ac:dyDescent="0.25">
      <c r="B110" s="5"/>
      <c r="I110" s="5"/>
      <c r="J110" s="5"/>
      <c r="M110" s="6"/>
      <c r="P110">
        <f>IF(H110="Closed","",IF(I110="","",TODAY()-I110))</f>
      </c>
    </row>
    <row r="111" ht="18" customHeight="1" spans="2:16" x14ac:dyDescent="0.25">
      <c r="B111" s="5"/>
      <c r="I111" s="5"/>
      <c r="J111" s="5"/>
      <c r="M111" s="6"/>
      <c r="P111">
        <f>IF(H111="Closed","",IF(I111="","",TODAY()-I111))</f>
      </c>
    </row>
    <row r="112" ht="18" customHeight="1" spans="2:16" x14ac:dyDescent="0.25">
      <c r="B112" s="5"/>
      <c r="I112" s="5"/>
      <c r="J112" s="5"/>
      <c r="M112" s="6"/>
      <c r="P112">
        <f>IF(H112="Closed","",IF(I112="","",TODAY()-I112))</f>
      </c>
    </row>
    <row r="113" ht="18" customHeight="1" spans="2:16" x14ac:dyDescent="0.25">
      <c r="B113" s="5"/>
      <c r="I113" s="5"/>
      <c r="J113" s="5"/>
      <c r="M113" s="6"/>
      <c r="P113">
        <f>IF(H113="Closed","",IF(I113="","",TODAY()-I113))</f>
      </c>
    </row>
    <row r="114" ht="18" customHeight="1" spans="2:16" x14ac:dyDescent="0.25">
      <c r="B114" s="5"/>
      <c r="I114" s="5"/>
      <c r="J114" s="5"/>
      <c r="M114" s="6"/>
      <c r="P114">
        <f>IF(H114="Closed","",IF(I114="","",TODAY()-I114))</f>
      </c>
    </row>
    <row r="115" ht="18" customHeight="1" spans="2:16" x14ac:dyDescent="0.25">
      <c r="B115" s="5"/>
      <c r="I115" s="5"/>
      <c r="J115" s="5"/>
      <c r="M115" s="6"/>
      <c r="P115">
        <f>IF(H115="Closed","",IF(I115="","",TODAY()-I115))</f>
      </c>
    </row>
    <row r="116" ht="18" customHeight="1" spans="2:16" x14ac:dyDescent="0.25">
      <c r="B116" s="5"/>
      <c r="I116" s="5"/>
      <c r="J116" s="5"/>
      <c r="M116" s="6"/>
      <c r="P116">
        <f>IF(H116="Closed","",IF(I116="","",TODAY()-I116))</f>
      </c>
    </row>
    <row r="117" ht="18" customHeight="1" spans="2:16" x14ac:dyDescent="0.25">
      <c r="B117" s="5"/>
      <c r="I117" s="5"/>
      <c r="J117" s="5"/>
      <c r="M117" s="6"/>
      <c r="P117">
        <f>IF(H117="Closed","",IF(I117="","",TODAY()-I117))</f>
      </c>
    </row>
    <row r="118" ht="18" customHeight="1" spans="2:16" x14ac:dyDescent="0.25">
      <c r="B118" s="5"/>
      <c r="I118" s="5"/>
      <c r="J118" s="5"/>
      <c r="M118" s="6"/>
      <c r="P118">
        <f>IF(H118="Closed","",IF(I118="","",TODAY()-I118))</f>
      </c>
    </row>
    <row r="119" ht="18" customHeight="1" spans="2:16" x14ac:dyDescent="0.25">
      <c r="B119" s="5"/>
      <c r="I119" s="5"/>
      <c r="J119" s="5"/>
      <c r="M119" s="6"/>
      <c r="P119">
        <f>IF(H119="Closed","",IF(I119="","",TODAY()-I119))</f>
      </c>
    </row>
    <row r="120" ht="18" customHeight="1" spans="2:16" x14ac:dyDescent="0.25">
      <c r="B120" s="5"/>
      <c r="I120" s="5"/>
      <c r="J120" s="5"/>
      <c r="M120" s="6"/>
      <c r="P120">
        <f>IF(H120="Closed","",IF(I120="","",TODAY()-I120))</f>
      </c>
    </row>
    <row r="121" ht="18" customHeight="1" spans="2:16" x14ac:dyDescent="0.25">
      <c r="B121" s="5"/>
      <c r="I121" s="5"/>
      <c r="J121" s="5"/>
      <c r="M121" s="6"/>
      <c r="P121">
        <f>IF(H121="Closed","",IF(I121="","",TODAY()-I121))</f>
      </c>
    </row>
    <row r="122" ht="18" customHeight="1" spans="2:16" x14ac:dyDescent="0.25">
      <c r="B122" s="5"/>
      <c r="I122" s="5"/>
      <c r="J122" s="5"/>
      <c r="M122" s="6"/>
      <c r="P122">
        <f>IF(H122="Closed","",IF(I122="","",TODAY()-I122))</f>
      </c>
    </row>
    <row r="123" ht="18" customHeight="1" spans="2:16" x14ac:dyDescent="0.25">
      <c r="B123" s="5"/>
      <c r="I123" s="5"/>
      <c r="J123" s="5"/>
      <c r="M123" s="6"/>
      <c r="P123">
        <f>IF(H123="Closed","",IF(I123="","",TODAY()-I123))</f>
      </c>
    </row>
    <row r="124" ht="18" customHeight="1" spans="2:16" x14ac:dyDescent="0.25">
      <c r="B124" s="5"/>
      <c r="I124" s="5"/>
      <c r="J124" s="5"/>
      <c r="M124" s="6"/>
      <c r="P124">
        <f>IF(H124="Closed","",IF(I124="","",TODAY()-I124))</f>
      </c>
    </row>
    <row r="125" ht="18" customHeight="1" spans="2:16" x14ac:dyDescent="0.25">
      <c r="B125" s="5"/>
      <c r="I125" s="5"/>
      <c r="J125" s="5"/>
      <c r="M125" s="6"/>
      <c r="P125">
        <f>IF(H125="Closed","",IF(I125="","",TODAY()-I125))</f>
      </c>
    </row>
    <row r="126" ht="18" customHeight="1" spans="2:16" x14ac:dyDescent="0.25">
      <c r="B126" s="5"/>
      <c r="I126" s="5"/>
      <c r="J126" s="5"/>
      <c r="M126" s="6"/>
      <c r="P126">
        <f>IF(H126="Closed","",IF(I126="","",TODAY()-I126))</f>
      </c>
    </row>
    <row r="127" ht="18" customHeight="1" spans="2:16" x14ac:dyDescent="0.25">
      <c r="B127" s="5"/>
      <c r="I127" s="5"/>
      <c r="J127" s="5"/>
      <c r="M127" s="6"/>
      <c r="P127">
        <f>IF(H127="Closed","",IF(I127="","",TODAY()-I127))</f>
      </c>
    </row>
    <row r="128" ht="18" customHeight="1" spans="2:16" x14ac:dyDescent="0.25">
      <c r="B128" s="5"/>
      <c r="I128" s="5"/>
      <c r="J128" s="5"/>
      <c r="M128" s="6"/>
      <c r="P128">
        <f>IF(H128="Closed","",IF(I128="","",TODAY()-I128))</f>
      </c>
    </row>
    <row r="129" ht="18" customHeight="1" spans="2:16" x14ac:dyDescent="0.25">
      <c r="B129" s="5"/>
      <c r="I129" s="5"/>
      <c r="J129" s="5"/>
      <c r="M129" s="6"/>
      <c r="P129">
        <f>IF(H129="Closed","",IF(I129="","",TODAY()-I129))</f>
      </c>
    </row>
    <row r="130" ht="18" customHeight="1" spans="2:16" x14ac:dyDescent="0.25">
      <c r="B130" s="5"/>
      <c r="I130" s="5"/>
      <c r="J130" s="5"/>
      <c r="M130" s="6"/>
      <c r="P130">
        <f>IF(H130="Closed","",IF(I130="","",TODAY()-I130))</f>
      </c>
    </row>
    <row r="131" ht="18" customHeight="1" spans="2:16" x14ac:dyDescent="0.25">
      <c r="B131" s="5"/>
      <c r="I131" s="5"/>
      <c r="J131" s="5"/>
      <c r="M131" s="6"/>
      <c r="P131">
        <f>IF(H131="Closed","",IF(I131="","",TODAY()-I131))</f>
      </c>
    </row>
    <row r="132" ht="18" customHeight="1" spans="2:16" x14ac:dyDescent="0.25">
      <c r="B132" s="5"/>
      <c r="I132" s="5"/>
      <c r="J132" s="5"/>
      <c r="M132" s="6"/>
      <c r="P132">
        <f>IF(H132="Closed","",IF(I132="","",TODAY()-I132))</f>
      </c>
    </row>
    <row r="133" ht="18" customHeight="1" spans="2:16" x14ac:dyDescent="0.25">
      <c r="B133" s="5"/>
      <c r="I133" s="5"/>
      <c r="J133" s="5"/>
      <c r="M133" s="6"/>
      <c r="P133">
        <f>IF(H133="Closed","",IF(I133="","",TODAY()-I133))</f>
      </c>
    </row>
    <row r="134" ht="18" customHeight="1" spans="2:16" x14ac:dyDescent="0.25">
      <c r="B134" s="5"/>
      <c r="I134" s="5"/>
      <c r="J134" s="5"/>
      <c r="M134" s="6"/>
      <c r="P134">
        <f>IF(H134="Closed","",IF(I134="","",TODAY()-I134))</f>
      </c>
    </row>
    <row r="135" ht="18" customHeight="1" spans="2:16" x14ac:dyDescent="0.25">
      <c r="B135" s="5"/>
      <c r="I135" s="5"/>
      <c r="J135" s="5"/>
      <c r="M135" s="6"/>
      <c r="P135">
        <f>IF(H135="Closed","",IF(I135="","",TODAY()-I135))</f>
      </c>
    </row>
    <row r="136" ht="18" customHeight="1" spans="2:16" x14ac:dyDescent="0.25">
      <c r="B136" s="5"/>
      <c r="I136" s="5"/>
      <c r="J136" s="5"/>
      <c r="M136" s="6"/>
      <c r="P136">
        <f>IF(H136="Closed","",IF(I136="","",TODAY()-I136))</f>
      </c>
    </row>
    <row r="137" ht="18" customHeight="1" spans="2:16" x14ac:dyDescent="0.25">
      <c r="B137" s="5"/>
      <c r="I137" s="5"/>
      <c r="J137" s="5"/>
      <c r="M137" s="6"/>
      <c r="P137">
        <f>IF(H137="Closed","",IF(I137="","",TODAY()-I137))</f>
      </c>
    </row>
    <row r="138" ht="18" customHeight="1" spans="2:16" x14ac:dyDescent="0.25">
      <c r="B138" s="5"/>
      <c r="I138" s="5"/>
      <c r="J138" s="5"/>
      <c r="M138" s="6"/>
      <c r="P138">
        <f>IF(H138="Closed","",IF(I138="","",TODAY()-I138))</f>
      </c>
    </row>
    <row r="139" ht="18" customHeight="1" spans="2:16" x14ac:dyDescent="0.25">
      <c r="B139" s="5"/>
      <c r="I139" s="5"/>
      <c r="J139" s="5"/>
      <c r="M139" s="6"/>
      <c r="P139">
        <f>IF(H139="Closed","",IF(I139="","",TODAY()-I139))</f>
      </c>
    </row>
    <row r="140" ht="18" customHeight="1" spans="2:16" x14ac:dyDescent="0.25">
      <c r="B140" s="5"/>
      <c r="I140" s="5"/>
      <c r="J140" s="5"/>
      <c r="M140" s="6"/>
      <c r="P140">
        <f>IF(H140="Closed","",IF(I140="","",TODAY()-I140))</f>
      </c>
    </row>
    <row r="141" ht="18" customHeight="1" spans="2:16" x14ac:dyDescent="0.25">
      <c r="B141" s="5"/>
      <c r="I141" s="5"/>
      <c r="J141" s="5"/>
      <c r="M141" s="6"/>
      <c r="P141">
        <f>IF(H141="Closed","",IF(I141="","",TODAY()-I141))</f>
      </c>
    </row>
    <row r="142" ht="18" customHeight="1" spans="2:16" x14ac:dyDescent="0.25">
      <c r="B142" s="5"/>
      <c r="I142" s="5"/>
      <c r="J142" s="5"/>
      <c r="M142" s="6"/>
      <c r="P142">
        <f>IF(H142="Closed","",IF(I142="","",TODAY()-I142))</f>
      </c>
    </row>
    <row r="143" ht="18" customHeight="1" spans="2:16" x14ac:dyDescent="0.25">
      <c r="B143" s="5"/>
      <c r="I143" s="5"/>
      <c r="J143" s="5"/>
      <c r="M143" s="6"/>
      <c r="P143">
        <f>IF(H143="Closed","",IF(I143="","",TODAY()-I143))</f>
      </c>
    </row>
    <row r="144" ht="18" customHeight="1" spans="2:16" x14ac:dyDescent="0.25">
      <c r="B144" s="5"/>
      <c r="I144" s="5"/>
      <c r="J144" s="5"/>
      <c r="M144" s="6"/>
      <c r="P144">
        <f>IF(H144="Closed","",IF(I144="","",TODAY()-I144))</f>
      </c>
    </row>
    <row r="145" ht="18" customHeight="1" spans="2:16" x14ac:dyDescent="0.25">
      <c r="B145" s="5"/>
      <c r="I145" s="5"/>
      <c r="J145" s="5"/>
      <c r="M145" s="6"/>
      <c r="P145">
        <f>IF(H145="Closed","",IF(I145="","",TODAY()-I145))</f>
      </c>
    </row>
    <row r="146" ht="18" customHeight="1" spans="2:16" x14ac:dyDescent="0.25">
      <c r="B146" s="5"/>
      <c r="I146" s="5"/>
      <c r="J146" s="5"/>
      <c r="M146" s="6"/>
      <c r="P146">
        <f>IF(H146="Closed","",IF(I146="","",TODAY()-I146))</f>
      </c>
    </row>
    <row r="147" ht="18" customHeight="1" spans="2:16" x14ac:dyDescent="0.25">
      <c r="B147" s="5"/>
      <c r="I147" s="5"/>
      <c r="J147" s="5"/>
      <c r="M147" s="6"/>
      <c r="P147">
        <f>IF(H147="Closed","",IF(I147="","",TODAY()-I147))</f>
      </c>
    </row>
    <row r="148" ht="18" customHeight="1" spans="2:16" x14ac:dyDescent="0.25">
      <c r="B148" s="5"/>
      <c r="I148" s="5"/>
      <c r="J148" s="5"/>
      <c r="M148" s="6"/>
      <c r="P148">
        <f>IF(H148="Closed","",IF(I148="","",TODAY()-I148))</f>
      </c>
    </row>
    <row r="149" ht="18" customHeight="1" spans="2:16" x14ac:dyDescent="0.25">
      <c r="B149" s="5"/>
      <c r="I149" s="5"/>
      <c r="J149" s="5"/>
      <c r="M149" s="6"/>
      <c r="P149">
        <f>IF(H149="Closed","",IF(I149="","",TODAY()-I149))</f>
      </c>
    </row>
    <row r="150" ht="18" customHeight="1" spans="2:16" x14ac:dyDescent="0.25">
      <c r="B150" s="5"/>
      <c r="I150" s="5"/>
      <c r="J150" s="5"/>
      <c r="M150" s="6"/>
      <c r="P150">
        <f>IF(H150="Closed","",IF(I150="","",TODAY()-I150))</f>
      </c>
    </row>
    <row r="151" ht="18" customHeight="1" spans="2:16" x14ac:dyDescent="0.25">
      <c r="B151" s="5"/>
      <c r="I151" s="5"/>
      <c r="J151" s="5"/>
      <c r="M151" s="6"/>
      <c r="P151">
        <f>IF(H151="Closed","",IF(I151="","",TODAY()-I151))</f>
      </c>
    </row>
    <row r="152" ht="18" customHeight="1" spans="2:16" x14ac:dyDescent="0.25">
      <c r="B152" s="5"/>
      <c r="I152" s="5"/>
      <c r="J152" s="5"/>
      <c r="M152" s="6"/>
      <c r="P152">
        <f>IF(H152="Closed","",IF(I152="","",TODAY()-I152))</f>
      </c>
    </row>
    <row r="153" ht="18" customHeight="1" spans="2:16" x14ac:dyDescent="0.25">
      <c r="B153" s="5"/>
      <c r="I153" s="5"/>
      <c r="J153" s="5"/>
      <c r="M153" s="6"/>
      <c r="P153">
        <f>IF(H153="Closed","",IF(I153="","",TODAY()-I153))</f>
      </c>
    </row>
    <row r="154" ht="18" customHeight="1" spans="2:16" x14ac:dyDescent="0.25">
      <c r="B154" s="5"/>
      <c r="I154" s="5"/>
      <c r="J154" s="5"/>
      <c r="M154" s="6"/>
      <c r="P154">
        <f>IF(H154="Closed","",IF(I154="","",TODAY()-I154))</f>
      </c>
    </row>
    <row r="155" ht="18" customHeight="1" spans="2:16" x14ac:dyDescent="0.25">
      <c r="B155" s="5"/>
      <c r="I155" s="5"/>
      <c r="J155" s="5"/>
      <c r="M155" s="6"/>
      <c r="P155">
        <f>IF(H155="Closed","",IF(I155="","",TODAY()-I155))</f>
      </c>
    </row>
    <row r="156" ht="18" customHeight="1" spans="2:16" x14ac:dyDescent="0.25">
      <c r="B156" s="5"/>
      <c r="I156" s="5"/>
      <c r="J156" s="5"/>
      <c r="M156" s="6"/>
      <c r="P156">
        <f>IF(H156="Closed","",IF(I156="","",TODAY()-I156))</f>
      </c>
    </row>
    <row r="157" ht="18" customHeight="1" spans="2:16" x14ac:dyDescent="0.25">
      <c r="B157" s="5"/>
      <c r="I157" s="5"/>
      <c r="J157" s="5"/>
      <c r="M157" s="6"/>
      <c r="P157">
        <f>IF(H157="Closed","",IF(I157="","",TODAY()-I157))</f>
      </c>
    </row>
    <row r="158" ht="18" customHeight="1" spans="2:16" x14ac:dyDescent="0.25">
      <c r="B158" s="5"/>
      <c r="I158" s="5"/>
      <c r="J158" s="5"/>
      <c r="M158" s="6"/>
      <c r="P158">
        <f>IF(H158="Closed","",IF(I158="","",TODAY()-I158))</f>
      </c>
    </row>
    <row r="159" ht="18" customHeight="1" spans="2:16" x14ac:dyDescent="0.25">
      <c r="B159" s="5"/>
      <c r="I159" s="5"/>
      <c r="J159" s="5"/>
      <c r="M159" s="6"/>
      <c r="P159">
        <f>IF(H159="Closed","",IF(I159="","",TODAY()-I159))</f>
      </c>
    </row>
    <row r="160" ht="18" customHeight="1" spans="2:16" x14ac:dyDescent="0.25">
      <c r="B160" s="5"/>
      <c r="I160" s="5"/>
      <c r="J160" s="5"/>
      <c r="M160" s="6"/>
      <c r="P160">
        <f>IF(H160="Closed","",IF(I160="","",TODAY()-I160))</f>
      </c>
    </row>
    <row r="161" ht="18" customHeight="1" spans="2:16" x14ac:dyDescent="0.25">
      <c r="B161" s="5"/>
      <c r="I161" s="5"/>
      <c r="J161" s="5"/>
      <c r="M161" s="6"/>
      <c r="P161">
        <f>IF(H161="Closed","",IF(I161="","",TODAY()-I161))</f>
      </c>
    </row>
    <row r="162" ht="18" customHeight="1" spans="2:16" x14ac:dyDescent="0.25">
      <c r="B162" s="5"/>
      <c r="I162" s="5"/>
      <c r="J162" s="5"/>
      <c r="M162" s="6"/>
      <c r="P162">
        <f>IF(H162="Closed","",IF(I162="","",TODAY()-I162))</f>
      </c>
    </row>
    <row r="163" ht="18" customHeight="1" spans="2:16" x14ac:dyDescent="0.25">
      <c r="B163" s="5"/>
      <c r="I163" s="5"/>
      <c r="J163" s="5"/>
      <c r="M163" s="6"/>
      <c r="P163">
        <f>IF(H163="Closed","",IF(I163="","",TODAY()-I163))</f>
      </c>
    </row>
    <row r="164" ht="18" customHeight="1" spans="2:16" x14ac:dyDescent="0.25">
      <c r="B164" s="5"/>
      <c r="I164" s="5"/>
      <c r="J164" s="5"/>
      <c r="M164" s="6"/>
      <c r="P164">
        <f>IF(H164="Closed","",IF(I164="","",TODAY()-I164))</f>
      </c>
    </row>
    <row r="165" ht="18" customHeight="1" spans="2:16" x14ac:dyDescent="0.25">
      <c r="B165" s="5"/>
      <c r="I165" s="5"/>
      <c r="J165" s="5"/>
      <c r="M165" s="6"/>
      <c r="P165">
        <f>IF(H165="Closed","",IF(I165="","",TODAY()-I165))</f>
      </c>
    </row>
    <row r="166" ht="18" customHeight="1" spans="2:16" x14ac:dyDescent="0.25">
      <c r="B166" s="5"/>
      <c r="I166" s="5"/>
      <c r="J166" s="5"/>
      <c r="M166" s="6"/>
      <c r="P166">
        <f>IF(H166="Closed","",IF(I166="","",TODAY()-I166))</f>
      </c>
    </row>
    <row r="167" ht="18" customHeight="1" spans="2:16" x14ac:dyDescent="0.25">
      <c r="B167" s="5"/>
      <c r="I167" s="5"/>
      <c r="J167" s="5"/>
      <c r="M167" s="6"/>
      <c r="P167">
        <f>IF(H167="Closed","",IF(I167="","",TODAY()-I167))</f>
      </c>
    </row>
    <row r="168" ht="18" customHeight="1" spans="2:16" x14ac:dyDescent="0.25">
      <c r="B168" s="5"/>
      <c r="I168" s="5"/>
      <c r="J168" s="5"/>
      <c r="M168" s="6"/>
      <c r="P168">
        <f>IF(H168="Closed","",IF(I168="","",TODAY()-I168))</f>
      </c>
    </row>
    <row r="169" ht="18" customHeight="1" spans="2:16" x14ac:dyDescent="0.25">
      <c r="B169" s="5"/>
      <c r="I169" s="5"/>
      <c r="J169" s="5"/>
      <c r="M169" s="6"/>
      <c r="P169">
        <f>IF(H169="Closed","",IF(I169="","",TODAY()-I169))</f>
      </c>
    </row>
    <row r="170" ht="18" customHeight="1" spans="2:16" x14ac:dyDescent="0.25">
      <c r="B170" s="5"/>
      <c r="I170" s="5"/>
      <c r="J170" s="5"/>
      <c r="M170" s="6"/>
      <c r="P170">
        <f>IF(H170="Closed","",IF(I170="","",TODAY()-I170))</f>
      </c>
    </row>
    <row r="171" ht="18" customHeight="1" spans="2:16" x14ac:dyDescent="0.25">
      <c r="B171" s="5"/>
      <c r="I171" s="5"/>
      <c r="J171" s="5"/>
      <c r="M171" s="6"/>
      <c r="P171">
        <f>IF(H171="Closed","",IF(I171="","",TODAY()-I171))</f>
      </c>
    </row>
    <row r="172" ht="18" customHeight="1" spans="2:16" x14ac:dyDescent="0.25">
      <c r="B172" s="5"/>
      <c r="I172" s="5"/>
      <c r="J172" s="5"/>
      <c r="M172" s="6"/>
      <c r="P172">
        <f>IF(H172="Closed","",IF(I172="","",TODAY()-I172))</f>
      </c>
    </row>
    <row r="173" ht="18" customHeight="1" spans="2:16" x14ac:dyDescent="0.25">
      <c r="B173" s="5"/>
      <c r="I173" s="5"/>
      <c r="J173" s="5"/>
      <c r="M173" s="6"/>
      <c r="P173">
        <f>IF(H173="Closed","",IF(I173="","",TODAY()-I173))</f>
      </c>
    </row>
    <row r="174" ht="18" customHeight="1" spans="2:16" x14ac:dyDescent="0.25">
      <c r="B174" s="5"/>
      <c r="I174" s="5"/>
      <c r="J174" s="5"/>
      <c r="M174" s="6"/>
      <c r="P174">
        <f>IF(H174="Closed","",IF(I174="","",TODAY()-I174))</f>
      </c>
    </row>
    <row r="175" ht="18" customHeight="1" spans="2:16" x14ac:dyDescent="0.25">
      <c r="B175" s="5"/>
      <c r="I175" s="5"/>
      <c r="J175" s="5"/>
      <c r="M175" s="6"/>
      <c r="P175">
        <f>IF(H175="Closed","",IF(I175="","",TODAY()-I175))</f>
      </c>
    </row>
    <row r="176" ht="18" customHeight="1" spans="2:16" x14ac:dyDescent="0.25">
      <c r="B176" s="5"/>
      <c r="I176" s="5"/>
      <c r="J176" s="5"/>
      <c r="M176" s="6"/>
      <c r="P176">
        <f>IF(H176="Closed","",IF(I176="","",TODAY()-I176))</f>
      </c>
    </row>
    <row r="177" ht="18" customHeight="1" spans="2:16" x14ac:dyDescent="0.25">
      <c r="B177" s="5"/>
      <c r="I177" s="5"/>
      <c r="J177" s="5"/>
      <c r="M177" s="6"/>
      <c r="P177">
        <f>IF(H177="Closed","",IF(I177="","",TODAY()-I177))</f>
      </c>
    </row>
    <row r="178" ht="18" customHeight="1" spans="2:16" x14ac:dyDescent="0.25">
      <c r="B178" s="5"/>
      <c r="I178" s="5"/>
      <c r="J178" s="5"/>
      <c r="M178" s="6"/>
      <c r="P178">
        <f>IF(H178="Closed","",IF(I178="","",TODAY()-I178))</f>
      </c>
    </row>
    <row r="179" ht="18" customHeight="1" spans="2:16" x14ac:dyDescent="0.25">
      <c r="B179" s="5"/>
      <c r="I179" s="5"/>
      <c r="J179" s="5"/>
      <c r="M179" s="6"/>
      <c r="P179">
        <f>IF(H179="Closed","",IF(I179="","",TODAY()-I179))</f>
      </c>
    </row>
    <row r="180" ht="18" customHeight="1" spans="2:16" x14ac:dyDescent="0.25">
      <c r="B180" s="5"/>
      <c r="I180" s="5"/>
      <c r="J180" s="5"/>
      <c r="M180" s="6"/>
      <c r="P180">
        <f>IF(H180="Closed","",IF(I180="","",TODAY()-I180))</f>
      </c>
    </row>
    <row r="181" ht="18" customHeight="1" spans="2:16" x14ac:dyDescent="0.25">
      <c r="B181" s="5"/>
      <c r="I181" s="5"/>
      <c r="J181" s="5"/>
      <c r="M181" s="6"/>
      <c r="P181">
        <f>IF(H181="Closed","",IF(I181="","",TODAY()-I181))</f>
      </c>
    </row>
    <row r="182" ht="18" customHeight="1" spans="2:16" x14ac:dyDescent="0.25">
      <c r="B182" s="5"/>
      <c r="I182" s="5"/>
      <c r="J182" s="5"/>
      <c r="M182" s="6"/>
      <c r="P182">
        <f>IF(H182="Closed","",IF(I182="","",TODAY()-I182))</f>
      </c>
    </row>
    <row r="183" ht="18" customHeight="1" spans="2:16" x14ac:dyDescent="0.25">
      <c r="B183" s="5"/>
      <c r="I183" s="5"/>
      <c r="J183" s="5"/>
      <c r="M183" s="6"/>
      <c r="P183">
        <f>IF(H183="Closed","",IF(I183="","",TODAY()-I183))</f>
      </c>
    </row>
    <row r="184" ht="18" customHeight="1" spans="2:16" x14ac:dyDescent="0.25">
      <c r="B184" s="5"/>
      <c r="I184" s="5"/>
      <c r="J184" s="5"/>
      <c r="M184" s="6"/>
      <c r="P184">
        <f>IF(H184="Closed","",IF(I184="","",TODAY()-I184))</f>
      </c>
    </row>
    <row r="185" ht="18" customHeight="1" spans="2:16" x14ac:dyDescent="0.25">
      <c r="B185" s="5"/>
      <c r="I185" s="5"/>
      <c r="J185" s="5"/>
      <c r="M185" s="6"/>
      <c r="P185">
        <f>IF(H185="Closed","",IF(I185="","",TODAY()-I185))</f>
      </c>
    </row>
    <row r="186" ht="18" customHeight="1" spans="2:16" x14ac:dyDescent="0.25">
      <c r="B186" s="5"/>
      <c r="I186" s="5"/>
      <c r="J186" s="5"/>
      <c r="M186" s="6"/>
      <c r="P186">
        <f>IF(H186="Closed","",IF(I186="","",TODAY()-I186))</f>
      </c>
    </row>
    <row r="187" ht="18" customHeight="1" spans="2:16" x14ac:dyDescent="0.25">
      <c r="B187" s="5"/>
      <c r="I187" s="5"/>
      <c r="J187" s="5"/>
      <c r="M187" s="6"/>
      <c r="P187">
        <f>IF(H187="Closed","",IF(I187="","",TODAY()-I187))</f>
      </c>
    </row>
    <row r="188" ht="18" customHeight="1" spans="2:16" x14ac:dyDescent="0.25">
      <c r="B188" s="5"/>
      <c r="I188" s="5"/>
      <c r="J188" s="5"/>
      <c r="M188" s="6"/>
      <c r="P188">
        <f>IF(H188="Closed","",IF(I188="","",TODAY()-I188))</f>
      </c>
    </row>
    <row r="189" ht="18" customHeight="1" spans="2:16" x14ac:dyDescent="0.25">
      <c r="B189" s="5"/>
      <c r="I189" s="5"/>
      <c r="J189" s="5"/>
      <c r="M189" s="6"/>
      <c r="P189">
        <f>IF(H189="Closed","",IF(I189="","",TODAY()-I189))</f>
      </c>
    </row>
    <row r="190" ht="18" customHeight="1" spans="2:16" x14ac:dyDescent="0.25">
      <c r="B190" s="5"/>
      <c r="I190" s="5"/>
      <c r="J190" s="5"/>
      <c r="M190" s="6"/>
      <c r="P190">
        <f>IF(H190="Closed","",IF(I190="","",TODAY()-I190))</f>
      </c>
    </row>
    <row r="191" ht="18" customHeight="1" spans="2:16" x14ac:dyDescent="0.25">
      <c r="B191" s="5"/>
      <c r="I191" s="5"/>
      <c r="J191" s="5"/>
      <c r="M191" s="6"/>
      <c r="P191">
        <f>IF(H191="Closed","",IF(I191="","",TODAY()-I191))</f>
      </c>
    </row>
    <row r="192" ht="18" customHeight="1" spans="2:16" x14ac:dyDescent="0.25">
      <c r="B192" s="5"/>
      <c r="I192" s="5"/>
      <c r="J192" s="5"/>
      <c r="M192" s="6"/>
      <c r="P192">
        <f>IF(H192="Closed","",IF(I192="","",TODAY()-I192))</f>
      </c>
    </row>
    <row r="193" ht="18" customHeight="1" spans="2:16" x14ac:dyDescent="0.25">
      <c r="B193" s="5"/>
      <c r="I193" s="5"/>
      <c r="J193" s="5"/>
      <c r="M193" s="6"/>
      <c r="P193">
        <f>IF(H193="Closed","",IF(I193="","",TODAY()-I193))</f>
      </c>
    </row>
    <row r="194" ht="18" customHeight="1" spans="2:16" x14ac:dyDescent="0.25">
      <c r="B194" s="5"/>
      <c r="I194" s="5"/>
      <c r="J194" s="5"/>
      <c r="M194" s="6"/>
      <c r="P194">
        <f>IF(H194="Closed","",IF(I194="","",TODAY()-I194))</f>
      </c>
    </row>
    <row r="195" ht="18" customHeight="1" spans="2:16" x14ac:dyDescent="0.25">
      <c r="B195" s="5"/>
      <c r="I195" s="5"/>
      <c r="J195" s="5"/>
      <c r="M195" s="6"/>
      <c r="P195">
        <f>IF(H195="Closed","",IF(I195="","",TODAY()-I195))</f>
      </c>
    </row>
    <row r="196" ht="18" customHeight="1" spans="2:16" x14ac:dyDescent="0.25">
      <c r="B196" s="5"/>
      <c r="I196" s="5"/>
      <c r="J196" s="5"/>
      <c r="M196" s="6"/>
      <c r="P196">
        <f>IF(H196="Closed","",IF(I196="","",TODAY()-I196))</f>
      </c>
    </row>
    <row r="197" ht="18" customHeight="1" spans="2:16" x14ac:dyDescent="0.25">
      <c r="B197" s="5"/>
      <c r="I197" s="5"/>
      <c r="J197" s="5"/>
      <c r="M197" s="6"/>
      <c r="P197">
        <f>IF(H197="Closed","",IF(I197="","",TODAY()-I197))</f>
      </c>
    </row>
    <row r="198" ht="18" customHeight="1" spans="2:16" x14ac:dyDescent="0.25">
      <c r="B198" s="5"/>
      <c r="I198" s="5"/>
      <c r="J198" s="5"/>
      <c r="M198" s="6"/>
      <c r="P198">
        <f>IF(H198="Closed","",IF(I198="","",TODAY()-I198))</f>
      </c>
    </row>
    <row r="199" ht="18" customHeight="1" spans="2:16" x14ac:dyDescent="0.25">
      <c r="B199" s="5"/>
      <c r="I199" s="5"/>
      <c r="J199" s="5"/>
      <c r="M199" s="6"/>
      <c r="P199">
        <f>IF(H199="Closed","",IF(I199="","",TODAY()-I199))</f>
      </c>
    </row>
    <row r="200" ht="18" customHeight="1" spans="2:16" x14ac:dyDescent="0.25">
      <c r="B200" s="5"/>
      <c r="I200" s="5"/>
      <c r="J200" s="5"/>
      <c r="M200" s="6"/>
      <c r="P200">
        <f>IF(H200="Closed","",IF(I200="","",TODAY()-I200))</f>
      </c>
    </row>
    <row r="201" ht="18" customHeight="1" spans="2:16" x14ac:dyDescent="0.25">
      <c r="B201" s="5"/>
      <c r="I201" s="5"/>
      <c r="J201" s="5"/>
      <c r="M201" s="6"/>
      <c r="P201">
        <f>IF(H201="Closed","",IF(I201="","",TODAY()-I201))</f>
      </c>
    </row>
    <row r="202" ht="18" customHeight="1" spans="2:16" x14ac:dyDescent="0.25">
      <c r="B202" s="5"/>
      <c r="I202" s="5"/>
      <c r="J202" s="5"/>
      <c r="M202" s="6"/>
      <c r="P202">
        <f>IF(H202="Closed","",IF(I202="","",TODAY()-I202))</f>
      </c>
    </row>
    <row r="203" ht="18" customHeight="1" spans="2:16" x14ac:dyDescent="0.25">
      <c r="B203" s="5"/>
      <c r="I203" s="5"/>
      <c r="J203" s="5"/>
      <c r="M203" s="6"/>
      <c r="P203">
        <f>IF(H203="Closed","",IF(I203="","",TODAY()-I203))</f>
      </c>
    </row>
    <row r="204" ht="18" customHeight="1" spans="2:16" x14ac:dyDescent="0.25">
      <c r="B204" s="5"/>
      <c r="I204" s="5"/>
      <c r="J204" s="5"/>
      <c r="M204" s="6"/>
      <c r="P204">
        <f>IF(H204="Closed","",IF(I204="","",TODAY()-I204))</f>
      </c>
    </row>
    <row r="205" ht="18" customHeight="1" spans="2:16" x14ac:dyDescent="0.25">
      <c r="B205" s="5"/>
      <c r="I205" s="5"/>
      <c r="J205" s="5"/>
      <c r="M205" s="6"/>
      <c r="P205">
        <f>IF(H205="Closed","",IF(I205="","",TODAY()-I205))</f>
      </c>
    </row>
    <row r="206" ht="18" customHeight="1" spans="2:16" x14ac:dyDescent="0.25">
      <c r="B206" s="5"/>
      <c r="I206" s="5"/>
      <c r="J206" s="5"/>
      <c r="M206" s="6"/>
      <c r="P206">
        <f>IF(H206="Closed","",IF(I206="","",TODAY()-I206))</f>
      </c>
    </row>
    <row r="207" ht="18" customHeight="1" spans="2:16" x14ac:dyDescent="0.25">
      <c r="B207" s="5"/>
      <c r="I207" s="5"/>
      <c r="J207" s="5"/>
      <c r="M207" s="6"/>
      <c r="P207">
        <f>IF(H207="Closed","",IF(I207="","",TODAY()-I207))</f>
      </c>
    </row>
    <row r="208" ht="18" customHeight="1" spans="2:16" x14ac:dyDescent="0.25">
      <c r="B208" s="5"/>
      <c r="I208" s="5"/>
      <c r="J208" s="5"/>
      <c r="M208" s="6"/>
      <c r="P208">
        <f>IF(H208="Closed","",IF(I208="","",TODAY()-I208))</f>
      </c>
    </row>
    <row r="209" ht="18" customHeight="1" spans="2:16" x14ac:dyDescent="0.25">
      <c r="B209" s="5"/>
      <c r="I209" s="5"/>
      <c r="J209" s="5"/>
      <c r="M209" s="6"/>
      <c r="P209">
        <f>IF(H209="Closed","",IF(I209="","",TODAY()-I209))</f>
      </c>
    </row>
    <row r="210" ht="18" customHeight="1" spans="2:16" x14ac:dyDescent="0.25">
      <c r="B210" s="5"/>
      <c r="I210" s="5"/>
      <c r="J210" s="5"/>
      <c r="M210" s="6"/>
      <c r="P210">
        <f>IF(H210="Closed","",IF(I210="","",TODAY()-I210))</f>
      </c>
    </row>
    <row r="211" ht="18" customHeight="1" spans="2:16" x14ac:dyDescent="0.25">
      <c r="B211" s="5"/>
      <c r="I211" s="5"/>
      <c r="J211" s="5"/>
      <c r="M211" s="6"/>
      <c r="P211">
        <f>IF(H211="Closed","",IF(I211="","",TODAY()-I211))</f>
      </c>
    </row>
    <row r="212" ht="18" customHeight="1" spans="2:16" x14ac:dyDescent="0.25">
      <c r="B212" s="5"/>
      <c r="I212" s="5"/>
      <c r="J212" s="5"/>
      <c r="M212" s="6"/>
      <c r="P212">
        <f>IF(H212="Closed","",IF(I212="","",TODAY()-I212))</f>
      </c>
    </row>
    <row r="213" ht="18" customHeight="1" spans="2:16" x14ac:dyDescent="0.25">
      <c r="B213" s="5"/>
      <c r="I213" s="5"/>
      <c r="J213" s="5"/>
      <c r="M213" s="6"/>
      <c r="P213">
        <f>IF(H213="Closed","",IF(I213="","",TODAY()-I213))</f>
      </c>
    </row>
    <row r="214" ht="18" customHeight="1" spans="2:16" x14ac:dyDescent="0.25">
      <c r="B214" s="5"/>
      <c r="I214" s="5"/>
      <c r="J214" s="5"/>
      <c r="M214" s="6"/>
      <c r="P214">
        <f>IF(H214="Closed","",IF(I214="","",TODAY()-I214))</f>
      </c>
    </row>
    <row r="215" ht="18" customHeight="1" spans="2:16" x14ac:dyDescent="0.25">
      <c r="B215" s="5"/>
      <c r="I215" s="5"/>
      <c r="J215" s="5"/>
      <c r="M215" s="6"/>
      <c r="P215">
        <f>IF(H215="Closed","",IF(I215="","",TODAY()-I215))</f>
      </c>
    </row>
    <row r="216" ht="18" customHeight="1" spans="2:16" x14ac:dyDescent="0.25">
      <c r="B216" s="5"/>
      <c r="I216" s="5"/>
      <c r="J216" s="5"/>
      <c r="M216" s="6"/>
      <c r="P216">
        <f>IF(H216="Closed","",IF(I216="","",TODAY()-I216))</f>
      </c>
    </row>
    <row r="217" ht="18" customHeight="1" spans="2:16" x14ac:dyDescent="0.25">
      <c r="B217" s="5"/>
      <c r="I217" s="5"/>
      <c r="J217" s="5"/>
      <c r="M217" s="6"/>
      <c r="P217">
        <f>IF(H217="Closed","",IF(I217="","",TODAY()-I217))</f>
      </c>
    </row>
    <row r="218" ht="18" customHeight="1" spans="2:16" x14ac:dyDescent="0.25">
      <c r="B218" s="5"/>
      <c r="I218" s="5"/>
      <c r="J218" s="5"/>
      <c r="M218" s="6"/>
      <c r="P218">
        <f>IF(H218="Closed","",IF(I218="","",TODAY()-I218))</f>
      </c>
    </row>
    <row r="219" ht="18" customHeight="1" spans="2:16" x14ac:dyDescent="0.25">
      <c r="B219" s="5"/>
      <c r="I219" s="5"/>
      <c r="J219" s="5"/>
      <c r="M219" s="6"/>
      <c r="P219">
        <f>IF(H219="Closed","",IF(I219="","",TODAY()-I219))</f>
      </c>
    </row>
    <row r="220" ht="18" customHeight="1" spans="2:16" x14ac:dyDescent="0.25">
      <c r="B220" s="5"/>
      <c r="I220" s="5"/>
      <c r="J220" s="5"/>
      <c r="M220" s="6"/>
      <c r="P220">
        <f>IF(H220="Closed","",IF(I220="","",TODAY()-I220))</f>
      </c>
    </row>
    <row r="221" ht="18" customHeight="1" spans="2:16" x14ac:dyDescent="0.25">
      <c r="B221" s="5"/>
      <c r="I221" s="5"/>
      <c r="J221" s="5"/>
      <c r="M221" s="6"/>
      <c r="P221">
        <f>IF(H221="Closed","",IF(I221="","",TODAY()-I221))</f>
      </c>
    </row>
    <row r="222" ht="18" customHeight="1" spans="2:16" x14ac:dyDescent="0.25">
      <c r="B222" s="5"/>
      <c r="I222" s="5"/>
      <c r="J222" s="5"/>
      <c r="M222" s="6"/>
      <c r="P222">
        <f>IF(H222="Closed","",IF(I222="","",TODAY()-I222))</f>
      </c>
    </row>
    <row r="223" ht="18" customHeight="1" spans="2:16" x14ac:dyDescent="0.25">
      <c r="B223" s="5"/>
      <c r="I223" s="5"/>
      <c r="J223" s="5"/>
      <c r="M223" s="6"/>
      <c r="P223">
        <f>IF(H223="Closed","",IF(I223="","",TODAY()-I223))</f>
      </c>
    </row>
    <row r="224" ht="18" customHeight="1" spans="2:16" x14ac:dyDescent="0.25">
      <c r="B224" s="5"/>
      <c r="I224" s="5"/>
      <c r="J224" s="5"/>
      <c r="M224" s="6"/>
      <c r="P224">
        <f>IF(H224="Closed","",IF(I224="","",TODAY()-I224))</f>
      </c>
    </row>
    <row r="225" ht="18" customHeight="1" spans="2:16" x14ac:dyDescent="0.25">
      <c r="B225" s="5"/>
      <c r="I225" s="5"/>
      <c r="J225" s="5"/>
      <c r="M225" s="6"/>
      <c r="P225">
        <f>IF(H225="Closed","",IF(I225="","",TODAY()-I225))</f>
      </c>
    </row>
    <row r="226" ht="18" customHeight="1" spans="2:16" x14ac:dyDescent="0.25">
      <c r="B226" s="5"/>
      <c r="I226" s="5"/>
      <c r="J226" s="5"/>
      <c r="M226" s="6"/>
      <c r="P226">
        <f>IF(H226="Closed","",IF(I226="","",TODAY()-I226))</f>
      </c>
    </row>
    <row r="227" ht="18" customHeight="1" spans="2:16" x14ac:dyDescent="0.25">
      <c r="B227" s="5"/>
      <c r="I227" s="5"/>
      <c r="J227" s="5"/>
      <c r="M227" s="6"/>
      <c r="P227">
        <f>IF(H227="Closed","",IF(I227="","",TODAY()-I227))</f>
      </c>
    </row>
    <row r="228" ht="18" customHeight="1" spans="2:16" x14ac:dyDescent="0.25">
      <c r="B228" s="5"/>
      <c r="I228" s="5"/>
      <c r="J228" s="5"/>
      <c r="M228" s="6"/>
      <c r="P228">
        <f>IF(H228="Closed","",IF(I228="","",TODAY()-I228))</f>
      </c>
    </row>
    <row r="229" ht="18" customHeight="1" spans="2:16" x14ac:dyDescent="0.25">
      <c r="B229" s="5"/>
      <c r="I229" s="5"/>
      <c r="J229" s="5"/>
      <c r="M229" s="6"/>
      <c r="P229">
        <f>IF(H229="Closed","",IF(I229="","",TODAY()-I229))</f>
      </c>
    </row>
    <row r="230" ht="18" customHeight="1" spans="2:16" x14ac:dyDescent="0.25">
      <c r="B230" s="5"/>
      <c r="I230" s="5"/>
      <c r="J230" s="5"/>
      <c r="M230" s="6"/>
      <c r="P230">
        <f>IF(H230="Closed","",IF(I230="","",TODAY()-I230))</f>
      </c>
    </row>
    <row r="231" ht="18" customHeight="1" spans="2:16" x14ac:dyDescent="0.25">
      <c r="B231" s="5"/>
      <c r="I231" s="5"/>
      <c r="J231" s="5"/>
      <c r="M231" s="6"/>
      <c r="P231">
        <f>IF(H231="Closed","",IF(I231="","",TODAY()-I231))</f>
      </c>
    </row>
    <row r="232" ht="18" customHeight="1" spans="2:16" x14ac:dyDescent="0.25">
      <c r="B232" s="5"/>
      <c r="I232" s="5"/>
      <c r="J232" s="5"/>
      <c r="M232" s="6"/>
      <c r="P232">
        <f>IF(H232="Closed","",IF(I232="","",TODAY()-I232))</f>
      </c>
    </row>
    <row r="233" ht="18" customHeight="1" spans="2:16" x14ac:dyDescent="0.25">
      <c r="B233" s="5"/>
      <c r="I233" s="5"/>
      <c r="J233" s="5"/>
      <c r="M233" s="6"/>
      <c r="P233">
        <f>IF(H233="Closed","",IF(I233="","",TODAY()-I233))</f>
      </c>
    </row>
    <row r="234" ht="18" customHeight="1" spans="2:16" x14ac:dyDescent="0.25">
      <c r="B234" s="5"/>
      <c r="I234" s="5"/>
      <c r="J234" s="5"/>
      <c r="M234" s="6"/>
      <c r="P234">
        <f>IF(H234="Closed","",IF(I234="","",TODAY()-I234))</f>
      </c>
    </row>
    <row r="235" ht="18" customHeight="1" spans="2:16" x14ac:dyDescent="0.25">
      <c r="B235" s="5"/>
      <c r="I235" s="5"/>
      <c r="J235" s="5"/>
      <c r="M235" s="6"/>
      <c r="P235">
        <f>IF(H235="Closed","",IF(I235="","",TODAY()-I235))</f>
      </c>
    </row>
    <row r="236" ht="18" customHeight="1" spans="2:16" x14ac:dyDescent="0.25">
      <c r="B236" s="5"/>
      <c r="I236" s="5"/>
      <c r="J236" s="5"/>
      <c r="M236" s="6"/>
      <c r="P236">
        <f>IF(H236="Closed","",IF(I236="","",TODAY()-I236))</f>
      </c>
    </row>
    <row r="237" ht="18" customHeight="1" spans="2:16" x14ac:dyDescent="0.25">
      <c r="B237" s="5"/>
      <c r="I237" s="5"/>
      <c r="J237" s="5"/>
      <c r="M237" s="6"/>
      <c r="P237">
        <f>IF(H237="Closed","",IF(I237="","",TODAY()-I237))</f>
      </c>
    </row>
    <row r="238" ht="18" customHeight="1" spans="2:16" x14ac:dyDescent="0.25">
      <c r="B238" s="5"/>
      <c r="I238" s="5"/>
      <c r="J238" s="5"/>
      <c r="M238" s="6"/>
      <c r="P238">
        <f>IF(H238="Closed","",IF(I238="","",TODAY()-I238))</f>
      </c>
    </row>
    <row r="239" ht="18" customHeight="1" spans="2:16" x14ac:dyDescent="0.25">
      <c r="B239" s="5"/>
      <c r="I239" s="5"/>
      <c r="J239" s="5"/>
      <c r="M239" s="6"/>
      <c r="P239">
        <f>IF(H239="Closed","",IF(I239="","",TODAY()-I239))</f>
      </c>
    </row>
    <row r="240" ht="18" customHeight="1" spans="2:16" x14ac:dyDescent="0.25">
      <c r="B240" s="5"/>
      <c r="I240" s="5"/>
      <c r="J240" s="5"/>
      <c r="M240" s="6"/>
      <c r="P240">
        <f>IF(H240="Closed","",IF(I240="","",TODAY()-I240))</f>
      </c>
    </row>
    <row r="241" ht="18" customHeight="1" spans="2:16" x14ac:dyDescent="0.25">
      <c r="B241" s="5"/>
      <c r="I241" s="5"/>
      <c r="J241" s="5"/>
      <c r="M241" s="6"/>
      <c r="P241">
        <f>IF(H241="Closed","",IF(I241="","",TODAY()-I241))</f>
      </c>
    </row>
    <row r="242" ht="18" customHeight="1" spans="2:16" x14ac:dyDescent="0.25">
      <c r="B242" s="5"/>
      <c r="I242" s="5"/>
      <c r="J242" s="5"/>
      <c r="M242" s="6"/>
      <c r="P242">
        <f>IF(H242="Closed","",IF(I242="","",TODAY()-I242))</f>
      </c>
    </row>
    <row r="243" ht="18" customHeight="1" spans="2:16" x14ac:dyDescent="0.25">
      <c r="B243" s="5"/>
      <c r="I243" s="5"/>
      <c r="J243" s="5"/>
      <c r="M243" s="6"/>
      <c r="P243">
        <f>IF(H243="Closed","",IF(I243="","",TODAY()-I243))</f>
      </c>
    </row>
    <row r="244" ht="18" customHeight="1" spans="2:16" x14ac:dyDescent="0.25">
      <c r="B244" s="5"/>
      <c r="I244" s="5"/>
      <c r="J244" s="5"/>
      <c r="M244" s="6"/>
      <c r="P244">
        <f>IF(H244="Closed","",IF(I244="","",TODAY()-I244))</f>
      </c>
    </row>
    <row r="245" ht="18" customHeight="1" spans="2:16" x14ac:dyDescent="0.25">
      <c r="B245" s="5"/>
      <c r="I245" s="5"/>
      <c r="J245" s="5"/>
      <c r="M245" s="6"/>
      <c r="P245">
        <f>IF(H245="Closed","",IF(I245="","",TODAY()-I245))</f>
      </c>
    </row>
    <row r="246" ht="18" customHeight="1" spans="2:16" x14ac:dyDescent="0.25">
      <c r="B246" s="5"/>
      <c r="I246" s="5"/>
      <c r="J246" s="5"/>
      <c r="M246" s="6"/>
      <c r="P246">
        <f>IF(H246="Closed","",IF(I246="","",TODAY()-I246))</f>
      </c>
    </row>
    <row r="247" ht="18" customHeight="1" spans="2:16" x14ac:dyDescent="0.25">
      <c r="B247" s="5"/>
      <c r="I247" s="5"/>
      <c r="J247" s="5"/>
      <c r="M247" s="6"/>
      <c r="P247">
        <f>IF(H247="Closed","",IF(I247="","",TODAY()-I247))</f>
      </c>
    </row>
    <row r="248" ht="18" customHeight="1" spans="2:16" x14ac:dyDescent="0.25">
      <c r="B248" s="5"/>
      <c r="I248" s="5"/>
      <c r="J248" s="5"/>
      <c r="M248" s="6"/>
      <c r="P248">
        <f>IF(H248="Closed","",IF(I248="","",TODAY()-I248))</f>
      </c>
    </row>
    <row r="249" ht="18" customHeight="1" spans="2:16" x14ac:dyDescent="0.25">
      <c r="B249" s="5"/>
      <c r="I249" s="5"/>
      <c r="J249" s="5"/>
      <c r="M249" s="6"/>
      <c r="P249">
        <f>IF(H249="Closed","",IF(I249="","",TODAY()-I249))</f>
      </c>
    </row>
    <row r="250" ht="18" customHeight="1" spans="2:16" x14ac:dyDescent="0.25">
      <c r="B250" s="5"/>
      <c r="I250" s="5"/>
      <c r="J250" s="5"/>
      <c r="M250" s="6"/>
      <c r="P250">
        <f>IF(H250="Closed","",IF(I250="","",TODAY()-I250))</f>
      </c>
    </row>
    <row r="251" ht="18" customHeight="1" spans="2:16" x14ac:dyDescent="0.25">
      <c r="B251" s="5"/>
      <c r="I251" s="5"/>
      <c r="J251" s="5"/>
      <c r="M251" s="6"/>
      <c r="P251">
        <f>IF(H251="Closed","",IF(I251="","",TODAY()-I251))</f>
      </c>
    </row>
    <row r="252" ht="18" customHeight="1" spans="2:16" x14ac:dyDescent="0.25">
      <c r="B252" s="5"/>
      <c r="I252" s="5"/>
      <c r="J252" s="5"/>
      <c r="M252" s="6"/>
      <c r="P252">
        <f>IF(H252="Closed","",IF(I252="","",TODAY()-I252))</f>
      </c>
    </row>
    <row r="253" ht="18" customHeight="1" spans="2:16" x14ac:dyDescent="0.25">
      <c r="B253" s="5"/>
      <c r="I253" s="5"/>
      <c r="J253" s="5"/>
      <c r="M253" s="6"/>
      <c r="P253">
        <f>IF(H253="Closed","",IF(I253="","",TODAY()-I253))</f>
      </c>
    </row>
    <row r="254" ht="18" customHeight="1" spans="2:16" x14ac:dyDescent="0.25">
      <c r="B254" s="5"/>
      <c r="I254" s="5"/>
      <c r="J254" s="5"/>
      <c r="M254" s="6"/>
      <c r="P254">
        <f>IF(H254="Closed","",IF(I254="","",TODAY()-I254))</f>
      </c>
    </row>
    <row r="255" ht="18" customHeight="1" spans="2:16" x14ac:dyDescent="0.25">
      <c r="B255" s="5"/>
      <c r="I255" s="5"/>
      <c r="J255" s="5"/>
      <c r="M255" s="6"/>
      <c r="P255">
        <f>IF(H255="Closed","",IF(I255="","",TODAY()-I255))</f>
      </c>
    </row>
    <row r="256" ht="18" customHeight="1" spans="2:16" x14ac:dyDescent="0.25">
      <c r="B256" s="5"/>
      <c r="I256" s="5"/>
      <c r="J256" s="5"/>
      <c r="M256" s="6"/>
      <c r="P256">
        <f>IF(H256="Closed","",IF(I256="","",TODAY()-I256))</f>
      </c>
    </row>
    <row r="257" ht="18" customHeight="1" spans="2:16" x14ac:dyDescent="0.25">
      <c r="B257" s="5"/>
      <c r="I257" s="5"/>
      <c r="J257" s="5"/>
      <c r="M257" s="6"/>
      <c r="P257">
        <f>IF(H257="Closed","",IF(I257="","",TODAY()-I257))</f>
      </c>
    </row>
    <row r="258" ht="18" customHeight="1" spans="2:16" x14ac:dyDescent="0.25">
      <c r="B258" s="5"/>
      <c r="I258" s="5"/>
      <c r="J258" s="5"/>
      <c r="M258" s="6"/>
      <c r="P258">
        <f>IF(H258="Closed","",IF(I258="","",TODAY()-I258))</f>
      </c>
    </row>
    <row r="259" ht="18" customHeight="1" spans="2:16" x14ac:dyDescent="0.25">
      <c r="B259" s="5"/>
      <c r="I259" s="5"/>
      <c r="J259" s="5"/>
      <c r="M259" s="6"/>
      <c r="P259">
        <f>IF(H259="Closed","",IF(I259="","",TODAY()-I259))</f>
      </c>
    </row>
    <row r="260" ht="18" customHeight="1" spans="2:16" x14ac:dyDescent="0.25">
      <c r="B260" s="5"/>
      <c r="I260" s="5"/>
      <c r="J260" s="5"/>
      <c r="M260" s="6"/>
      <c r="P260">
        <f>IF(H260="Closed","",IF(I260="","",TODAY()-I260))</f>
      </c>
    </row>
    <row r="261" ht="18" customHeight="1" spans="2:16" x14ac:dyDescent="0.25">
      <c r="B261" s="5"/>
      <c r="I261" s="5"/>
      <c r="J261" s="5"/>
      <c r="M261" s="6"/>
      <c r="P261">
        <f>IF(H261="Closed","",IF(I261="","",TODAY()-I261))</f>
      </c>
    </row>
    <row r="262" ht="18" customHeight="1" spans="2:16" x14ac:dyDescent="0.25">
      <c r="B262" s="5"/>
      <c r="I262" s="5"/>
      <c r="J262" s="5"/>
      <c r="M262" s="6"/>
      <c r="P262">
        <f>IF(H262="Closed","",IF(I262="","",TODAY()-I262))</f>
      </c>
    </row>
    <row r="263" ht="18" customHeight="1" spans="2:16" x14ac:dyDescent="0.25">
      <c r="B263" s="5"/>
      <c r="I263" s="5"/>
      <c r="J263" s="5"/>
      <c r="M263" s="6"/>
      <c r="P263">
        <f>IF(H263="Closed","",IF(I263="","",TODAY()-I263))</f>
      </c>
    </row>
    <row r="264" ht="18" customHeight="1" spans="2:16" x14ac:dyDescent="0.25">
      <c r="B264" s="5"/>
      <c r="I264" s="5"/>
      <c r="J264" s="5"/>
      <c r="M264" s="6"/>
      <c r="P264">
        <f>IF(H264="Closed","",IF(I264="","",TODAY()-I264))</f>
      </c>
    </row>
    <row r="265" ht="18" customHeight="1" spans="2:16" x14ac:dyDescent="0.25">
      <c r="B265" s="5"/>
      <c r="I265" s="5"/>
      <c r="J265" s="5"/>
      <c r="M265" s="6"/>
      <c r="P265">
        <f>IF(H265="Closed","",IF(I265="","",TODAY()-I265))</f>
      </c>
    </row>
    <row r="266" ht="18" customHeight="1" spans="2:16" x14ac:dyDescent="0.25">
      <c r="B266" s="5"/>
      <c r="I266" s="5"/>
      <c r="J266" s="5"/>
      <c r="M266" s="6"/>
      <c r="P266">
        <f>IF(H266="Closed","",IF(I266="","",TODAY()-I266))</f>
      </c>
    </row>
    <row r="267" ht="18" customHeight="1" spans="2:16" x14ac:dyDescent="0.25">
      <c r="B267" s="5"/>
      <c r="I267" s="5"/>
      <c r="J267" s="5"/>
      <c r="M267" s="6"/>
      <c r="P267">
        <f>IF(H267="Closed","",IF(I267="","",TODAY()-I267))</f>
      </c>
    </row>
    <row r="268" ht="18" customHeight="1" spans="2:16" x14ac:dyDescent="0.25">
      <c r="B268" s="5"/>
      <c r="I268" s="5"/>
      <c r="J268" s="5"/>
      <c r="M268" s="6"/>
      <c r="P268">
        <f>IF(H268="Closed","",IF(I268="","",TODAY()-I268))</f>
      </c>
    </row>
    <row r="269" ht="18" customHeight="1" spans="2:16" x14ac:dyDescent="0.25">
      <c r="B269" s="5"/>
      <c r="I269" s="5"/>
      <c r="J269" s="5"/>
      <c r="M269" s="6"/>
      <c r="P269">
        <f>IF(H269="Closed","",IF(I269="","",TODAY()-I269))</f>
      </c>
    </row>
    <row r="270" ht="18" customHeight="1" spans="2:16" x14ac:dyDescent="0.25">
      <c r="B270" s="5"/>
      <c r="I270" s="5"/>
      <c r="J270" s="5"/>
      <c r="M270" s="6"/>
      <c r="P270">
        <f>IF(H270="Closed","",IF(I270="","",TODAY()-I270))</f>
      </c>
    </row>
    <row r="271" ht="18" customHeight="1" spans="2:16" x14ac:dyDescent="0.25">
      <c r="B271" s="5"/>
      <c r="I271" s="5"/>
      <c r="J271" s="5"/>
      <c r="M271" s="6"/>
      <c r="P271">
        <f>IF(H271="Closed","",IF(I271="","",TODAY()-I271))</f>
      </c>
    </row>
    <row r="272" ht="18" customHeight="1" spans="2:16" x14ac:dyDescent="0.25">
      <c r="B272" s="5"/>
      <c r="I272" s="5"/>
      <c r="J272" s="5"/>
      <c r="M272" s="6"/>
      <c r="P272">
        <f>IF(H272="Closed","",IF(I272="","",TODAY()-I272))</f>
      </c>
    </row>
    <row r="273" ht="18" customHeight="1" spans="2:16" x14ac:dyDescent="0.25">
      <c r="B273" s="5"/>
      <c r="I273" s="5"/>
      <c r="J273" s="5"/>
      <c r="M273" s="6"/>
      <c r="P273">
        <f>IF(H273="Closed","",IF(I273="","",TODAY()-I273))</f>
      </c>
    </row>
    <row r="274" ht="18" customHeight="1" spans="2:16" x14ac:dyDescent="0.25">
      <c r="B274" s="5"/>
      <c r="I274" s="5"/>
      <c r="J274" s="5"/>
      <c r="M274" s="6"/>
      <c r="P274">
        <f>IF(H274="Closed","",IF(I274="","",TODAY()-I274))</f>
      </c>
    </row>
    <row r="275" ht="18" customHeight="1" spans="2:16" x14ac:dyDescent="0.25">
      <c r="B275" s="5"/>
      <c r="I275" s="5"/>
      <c r="J275" s="5"/>
      <c r="M275" s="6"/>
      <c r="P275">
        <f>IF(H275="Closed","",IF(I275="","",TODAY()-I275))</f>
      </c>
    </row>
    <row r="276" ht="18" customHeight="1" spans="2:16" x14ac:dyDescent="0.25">
      <c r="B276" s="5"/>
      <c r="I276" s="5"/>
      <c r="J276" s="5"/>
      <c r="M276" s="6"/>
      <c r="P276">
        <f>IF(H276="Closed","",IF(I276="","",TODAY()-I276))</f>
      </c>
    </row>
    <row r="277" ht="18" customHeight="1" spans="2:16" x14ac:dyDescent="0.25">
      <c r="B277" s="5"/>
      <c r="I277" s="5"/>
      <c r="J277" s="5"/>
      <c r="M277" s="6"/>
      <c r="P277">
        <f>IF(H277="Closed","",IF(I277="","",TODAY()-I277))</f>
      </c>
    </row>
    <row r="278" ht="18" customHeight="1" spans="2:16" x14ac:dyDescent="0.25">
      <c r="B278" s="5"/>
      <c r="I278" s="5"/>
      <c r="J278" s="5"/>
      <c r="M278" s="6"/>
      <c r="P278">
        <f>IF(H278="Closed","",IF(I278="","",TODAY()-I278))</f>
      </c>
    </row>
    <row r="279" ht="18" customHeight="1" spans="2:16" x14ac:dyDescent="0.25">
      <c r="B279" s="5"/>
      <c r="I279" s="5"/>
      <c r="J279" s="5"/>
      <c r="M279" s="6"/>
      <c r="P279">
        <f>IF(H279="Closed","",IF(I279="","",TODAY()-I279))</f>
      </c>
    </row>
    <row r="280" ht="18" customHeight="1" spans="2:16" x14ac:dyDescent="0.25">
      <c r="B280" s="5"/>
      <c r="I280" s="5"/>
      <c r="J280" s="5"/>
      <c r="M280" s="6"/>
      <c r="P280">
        <f>IF(H280="Closed","",IF(I280="","",TODAY()-I280))</f>
      </c>
    </row>
    <row r="281" ht="18" customHeight="1" spans="2:16" x14ac:dyDescent="0.25">
      <c r="B281" s="5"/>
      <c r="I281" s="5"/>
      <c r="J281" s="5"/>
      <c r="M281" s="6"/>
      <c r="P281">
        <f>IF(H281="Closed","",IF(I281="","",TODAY()-I281))</f>
      </c>
    </row>
    <row r="282" ht="18" customHeight="1" spans="2:16" x14ac:dyDescent="0.25">
      <c r="B282" s="5"/>
      <c r="I282" s="5"/>
      <c r="J282" s="5"/>
      <c r="M282" s="6"/>
      <c r="P282">
        <f>IF(H282="Closed","",IF(I282="","",TODAY()-I282))</f>
      </c>
    </row>
    <row r="283" ht="18" customHeight="1" spans="2:16" x14ac:dyDescent="0.25">
      <c r="B283" s="5"/>
      <c r="I283" s="5"/>
      <c r="J283" s="5"/>
      <c r="M283" s="6"/>
      <c r="P283">
        <f>IF(H283="Closed","",IF(I283="","",TODAY()-I283))</f>
      </c>
    </row>
    <row r="284" ht="18" customHeight="1" spans="2:16" x14ac:dyDescent="0.25">
      <c r="B284" s="5"/>
      <c r="I284" s="5"/>
      <c r="J284" s="5"/>
      <c r="M284" s="6"/>
      <c r="P284">
        <f>IF(H284="Closed","",IF(I284="","",TODAY()-I284))</f>
      </c>
    </row>
    <row r="285" ht="18" customHeight="1" spans="2:16" x14ac:dyDescent="0.25">
      <c r="B285" s="5"/>
      <c r="I285" s="5"/>
      <c r="J285" s="5"/>
      <c r="M285" s="6"/>
      <c r="P285">
        <f>IF(H285="Closed","",IF(I285="","",TODAY()-I285))</f>
      </c>
    </row>
    <row r="286" ht="18" customHeight="1" spans="2:16" x14ac:dyDescent="0.25">
      <c r="B286" s="5"/>
      <c r="I286" s="5"/>
      <c r="J286" s="5"/>
      <c r="M286" s="6"/>
      <c r="P286">
        <f>IF(H286="Closed","",IF(I286="","",TODAY()-I286))</f>
      </c>
    </row>
    <row r="287" ht="18" customHeight="1" spans="2:16" x14ac:dyDescent="0.25">
      <c r="B287" s="5"/>
      <c r="I287" s="5"/>
      <c r="J287" s="5"/>
      <c r="M287" s="6"/>
      <c r="P287">
        <f>IF(H287="Closed","",IF(I287="","",TODAY()-I287))</f>
      </c>
    </row>
    <row r="288" ht="18" customHeight="1" spans="2:16" x14ac:dyDescent="0.25">
      <c r="B288" s="5"/>
      <c r="I288" s="5"/>
      <c r="J288" s="5"/>
      <c r="M288" s="6"/>
      <c r="P288">
        <f>IF(H288="Closed","",IF(I288="","",TODAY()-I288))</f>
      </c>
    </row>
    <row r="289" ht="18" customHeight="1" spans="2:16" x14ac:dyDescent="0.25">
      <c r="B289" s="5"/>
      <c r="I289" s="5"/>
      <c r="J289" s="5"/>
      <c r="M289" s="6"/>
      <c r="P289">
        <f>IF(H289="Closed","",IF(I289="","",TODAY()-I289))</f>
      </c>
    </row>
    <row r="290" ht="18" customHeight="1" spans="2:16" x14ac:dyDescent="0.25">
      <c r="B290" s="5"/>
      <c r="I290" s="5"/>
      <c r="J290" s="5"/>
      <c r="M290" s="6"/>
      <c r="P290">
        <f>IF(H290="Closed","",IF(I290="","",TODAY()-I290))</f>
      </c>
    </row>
    <row r="291" ht="18" customHeight="1" spans="2:16" x14ac:dyDescent="0.25">
      <c r="B291" s="5"/>
      <c r="I291" s="5"/>
      <c r="J291" s="5"/>
      <c r="M291" s="6"/>
      <c r="P291">
        <f>IF(H291="Closed","",IF(I291="","",TODAY()-I291))</f>
      </c>
    </row>
    <row r="292" ht="18" customHeight="1" spans="2:16" x14ac:dyDescent="0.25">
      <c r="B292" s="5"/>
      <c r="I292" s="5"/>
      <c r="J292" s="5"/>
      <c r="M292" s="6"/>
      <c r="P292">
        <f>IF(H292="Closed","",IF(I292="","",TODAY()-I292))</f>
      </c>
    </row>
    <row r="293" ht="18" customHeight="1" spans="2:16" x14ac:dyDescent="0.25">
      <c r="B293" s="5"/>
      <c r="I293" s="5"/>
      <c r="J293" s="5"/>
      <c r="M293" s="6"/>
      <c r="P293">
        <f>IF(H293="Closed","",IF(I293="","",TODAY()-I293))</f>
      </c>
    </row>
    <row r="294" ht="18" customHeight="1" spans="2:16" x14ac:dyDescent="0.25">
      <c r="B294" s="5"/>
      <c r="I294" s="5"/>
      <c r="J294" s="5"/>
      <c r="M294" s="6"/>
      <c r="P294">
        <f>IF(H294="Closed","",IF(I294="","",TODAY()-I294))</f>
      </c>
    </row>
    <row r="295" ht="18" customHeight="1" spans="2:16" x14ac:dyDescent="0.25">
      <c r="B295" s="5"/>
      <c r="I295" s="5"/>
      <c r="J295" s="5"/>
      <c r="M295" s="6"/>
      <c r="P295">
        <f>IF(H295="Closed","",IF(I295="","",TODAY()-I295))</f>
      </c>
    </row>
    <row r="296" ht="18" customHeight="1" spans="2:16" x14ac:dyDescent="0.25">
      <c r="B296" s="5"/>
      <c r="I296" s="5"/>
      <c r="J296" s="5"/>
      <c r="M296" s="6"/>
      <c r="P296">
        <f>IF(H296="Closed","",IF(I296="","",TODAY()-I296))</f>
      </c>
    </row>
    <row r="297" ht="18" customHeight="1" spans="2:16" x14ac:dyDescent="0.25">
      <c r="B297" s="5"/>
      <c r="I297" s="5"/>
      <c r="J297" s="5"/>
      <c r="M297" s="6"/>
      <c r="P297">
        <f>IF(H297="Closed","",IF(I297="","",TODAY()-I297))</f>
      </c>
    </row>
    <row r="298" ht="18" customHeight="1" spans="2:16" x14ac:dyDescent="0.25">
      <c r="B298" s="5"/>
      <c r="I298" s="5"/>
      <c r="J298" s="5"/>
      <c r="M298" s="6"/>
      <c r="P298">
        <f>IF(H298="Closed","",IF(I298="","",TODAY()-I298))</f>
      </c>
    </row>
    <row r="299" ht="18" customHeight="1" spans="2:16" x14ac:dyDescent="0.25">
      <c r="B299" s="5"/>
      <c r="I299" s="5"/>
      <c r="J299" s="5"/>
      <c r="M299" s="6"/>
      <c r="P299">
        <f>IF(H299="Closed","",IF(I299="","",TODAY()-I299))</f>
      </c>
    </row>
    <row r="300" ht="18" customHeight="1" spans="2:16" x14ac:dyDescent="0.25">
      <c r="B300" s="5"/>
      <c r="I300" s="5"/>
      <c r="J300" s="5"/>
      <c r="M300" s="6"/>
      <c r="P300">
        <f>IF(H300="Closed","",IF(I300="","",TODAY()-I300))</f>
      </c>
    </row>
    <row r="301" ht="18" customHeight="1" spans="2:16" x14ac:dyDescent="0.25">
      <c r="B301" s="5"/>
      <c r="I301" s="5"/>
      <c r="J301" s="5"/>
      <c r="M301" s="6"/>
      <c r="P301">
        <f>IF(H301="Closed","",IF(I301="","",TODAY()-I301))</f>
      </c>
    </row>
  </sheetData>
  <autoFilter ref="A1:P1"/>
  <conditionalFormatting sqref="J2:J301">
    <cfRule type="cellIs" dxfId="0" priority="1" operator="lessThan">
      <formula>TODAY()</formula>
    </cfRule>
  </conditionalFormatting>
  <conditionalFormatting sqref="H2:H301">
    <cfRule type="cellIs" dxfId="1" priority="2" operator="equal">
      <formula>"Closed"</formula>
    </cfRule>
    <cfRule type="cellIs" dxfId="2" priority="3" operator="equal">
      <formula>"Lost"</formula>
    </cfRule>
  </conditionalFormatting>
  <dataValidations count="4">
    <dataValidation type="list" allowBlank="1" sqref="D2:D301">
      <formula1>"Cafe,Salon,Dental,Gym,Other"</formula1>
    </dataValidation>
    <dataValidation type="list" sqref="H2:H301">
      <formula1>"Prospect,Lead,Walk-in,Demo,Negotiation,Closed,Lost"</formula1>
    </dataValidation>
    <dataValidation type="list" allowBlank="1" sqref="K2:K301">
      <formula1>"Y,N"</formula1>
    </dataValidation>
    <dataValidation type="list" allowBlank="1" sqref="L2:L301">
      <formula1>"No time,Has reviews,Price,Complaints fear,Other"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4" customWidth="1"/>
    <col min="4" max="4" width="18" customWidth="1"/>
    <col min="5" max="5" width="12" customWidth="1"/>
    <col min="6" max="6" width="16" customWidth="1"/>
    <col min="7" max="7" width="14" customWidth="1"/>
    <col min="8" max="8" width="20" customWidth="1"/>
    <col min="9" max="9" width="14" customWidth="1"/>
    <col min="10" max="10" width="11" customWidth="1"/>
    <col min="11" max="11" width="32" customWidth="1"/>
  </cols>
  <sheetData>
    <row r="1" ht="22" customHeight="1" spans="1:11" x14ac:dyDescent="0.25">
      <c r="A1" s="4" t="s">
        <v>43</v>
      </c>
      <c r="B1" s="4" t="s">
        <v>44</v>
      </c>
      <c r="C1" s="4" t="s">
        <v>20</v>
      </c>
      <c r="D1" s="4" t="s">
        <v>45</v>
      </c>
      <c r="E1" s="4" t="s">
        <v>46</v>
      </c>
      <c r="F1" s="4" t="s">
        <v>47</v>
      </c>
      <c r="G1" s="4" t="s">
        <v>48</v>
      </c>
      <c r="H1" s="4" t="s">
        <v>49</v>
      </c>
      <c r="I1" s="4" t="s">
        <v>50</v>
      </c>
      <c r="J1" s="4" t="s">
        <v>51</v>
      </c>
      <c r="K1" s="4" t="s">
        <v>32</v>
      </c>
    </row>
    <row r="2" spans="1:11" x14ac:dyDescent="0.25">
      <c r="A2" s="5">
        <v>46279.35324865741</v>
      </c>
      <c r="B2" t="s">
        <v>52</v>
      </c>
      <c r="C2" t="s">
        <v>34</v>
      </c>
      <c r="D2">
        <v>2</v>
      </c>
      <c r="E2">
        <v>6</v>
      </c>
      <c r="F2">
        <f>IF(AND(D2="",E2=""),"",SUM(D2:E2))</f>
      </c>
      <c r="G2">
        <v>4</v>
      </c>
      <c r="H2" s="7">
        <f>IFERROR(IF(E2="","",G2/E2),"")</f>
      </c>
      <c r="I2" t="s">
        <v>40</v>
      </c>
      <c r="J2" t="s">
        <v>40</v>
      </c>
      <c r="K2" t="s">
        <v>53</v>
      </c>
    </row>
    <row r="3" ht="18" customHeight="1" spans="1:8" x14ac:dyDescent="0.25">
      <c r="A3" s="5"/>
      <c r="F3">
        <f>IF(AND(D3="",E3=""),"",SUM(D3:E3))</f>
      </c>
      <c r="H3" s="7">
        <f>IFERROR(IF(E3="","",G3/E3),"")</f>
      </c>
    </row>
    <row r="4" ht="18" customHeight="1" spans="1:8" x14ac:dyDescent="0.25">
      <c r="A4" s="5"/>
      <c r="F4">
        <f>IF(AND(D4="",E4=""),"",SUM(D4:E4))</f>
      </c>
      <c r="H4" s="7">
        <f>IFERROR(IF(E4="","",G4/E4),"")</f>
      </c>
    </row>
    <row r="5" ht="18" customHeight="1" spans="1:8" x14ac:dyDescent="0.25">
      <c r="A5" s="5"/>
      <c r="F5">
        <f>IF(AND(D5="",E5=""),"",SUM(D5:E5))</f>
      </c>
      <c r="H5" s="7">
        <f>IFERROR(IF(E5="","",G5/E5),"")</f>
      </c>
    </row>
    <row r="6" ht="18" customHeight="1" spans="1:8" x14ac:dyDescent="0.25">
      <c r="A6" s="5"/>
      <c r="F6">
        <f>IF(AND(D6="",E6=""),"",SUM(D6:E6))</f>
      </c>
      <c r="H6" s="7">
        <f>IFERROR(IF(E6="","",G6/E6),"")</f>
      </c>
    </row>
    <row r="7" ht="18" customHeight="1" spans="1:8" x14ac:dyDescent="0.25">
      <c r="A7" s="5"/>
      <c r="F7">
        <f>IF(AND(D7="",E7=""),"",SUM(D7:E7))</f>
      </c>
      <c r="H7" s="7">
        <f>IFERROR(IF(E7="","",G7/E7),"")</f>
      </c>
    </row>
    <row r="8" ht="18" customHeight="1" spans="1:8" x14ac:dyDescent="0.25">
      <c r="A8" s="5"/>
      <c r="F8">
        <f>IF(AND(D8="",E8=""),"",SUM(D8:E8))</f>
      </c>
      <c r="H8" s="7">
        <f>IFERROR(IF(E8="","",G8/E8),"")</f>
      </c>
    </row>
    <row r="9" ht="18" customHeight="1" spans="1:8" x14ac:dyDescent="0.25">
      <c r="A9" s="5"/>
      <c r="F9">
        <f>IF(AND(D9="",E9=""),"",SUM(D9:E9))</f>
      </c>
      <c r="H9" s="7">
        <f>IFERROR(IF(E9="","",G9/E9),"")</f>
      </c>
    </row>
    <row r="10" ht="18" customHeight="1" spans="1:8" x14ac:dyDescent="0.25">
      <c r="A10" s="5"/>
      <c r="F10">
        <f>IF(AND(D10="",E10=""),"",SUM(D10:E10))</f>
      </c>
      <c r="H10" s="7">
        <f>IFERROR(IF(E10="","",G10/E10),"")</f>
      </c>
    </row>
    <row r="11" ht="18" customHeight="1" spans="1:8" x14ac:dyDescent="0.25">
      <c r="A11" s="5"/>
      <c r="F11">
        <f>IF(AND(D11="",E11=""),"",SUM(D11:E11))</f>
      </c>
      <c r="H11" s="7">
        <f>IFERROR(IF(E11="","",G11/E11),"")</f>
      </c>
    </row>
    <row r="12" ht="18" customHeight="1" spans="1:8" x14ac:dyDescent="0.25">
      <c r="A12" s="5"/>
      <c r="F12">
        <f>IF(AND(D12="",E12=""),"",SUM(D12:E12))</f>
      </c>
      <c r="H12" s="7">
        <f>IFERROR(IF(E12="","",G12/E12),"")</f>
      </c>
    </row>
    <row r="13" ht="18" customHeight="1" spans="1:8" x14ac:dyDescent="0.25">
      <c r="A13" s="5"/>
      <c r="F13">
        <f>IF(AND(D13="",E13=""),"",SUM(D13:E13))</f>
      </c>
      <c r="H13" s="7">
        <f>IFERROR(IF(E13="","",G13/E13),"")</f>
      </c>
    </row>
    <row r="14" ht="18" customHeight="1" spans="1:8" x14ac:dyDescent="0.25">
      <c r="A14" s="5"/>
      <c r="F14">
        <f>IF(AND(D14="",E14=""),"",SUM(D14:E14))</f>
      </c>
      <c r="H14" s="7">
        <f>IFERROR(IF(E14="","",G14/E14),"")</f>
      </c>
    </row>
    <row r="15" ht="18" customHeight="1" spans="1:8" x14ac:dyDescent="0.25">
      <c r="A15" s="5"/>
      <c r="F15">
        <f>IF(AND(D15="",E15=""),"",SUM(D15:E15))</f>
      </c>
      <c r="H15" s="7">
        <f>IFERROR(IF(E15="","",G15/E15),"")</f>
      </c>
    </row>
    <row r="16" ht="18" customHeight="1" spans="1:8" x14ac:dyDescent="0.25">
      <c r="A16" s="5"/>
      <c r="F16">
        <f>IF(AND(D16="",E16=""),"",SUM(D16:E16))</f>
      </c>
      <c r="H16" s="7">
        <f>IFERROR(IF(E16="","",G16/E16),"")</f>
      </c>
    </row>
    <row r="17" ht="18" customHeight="1" spans="1:8" x14ac:dyDescent="0.25">
      <c r="A17" s="5"/>
      <c r="F17">
        <f>IF(AND(D17="",E17=""),"",SUM(D17:E17))</f>
      </c>
      <c r="H17" s="7">
        <f>IFERROR(IF(E17="","",G17/E17),"")</f>
      </c>
    </row>
    <row r="18" ht="18" customHeight="1" spans="1:8" x14ac:dyDescent="0.25">
      <c r="A18" s="5"/>
      <c r="F18">
        <f>IF(AND(D18="",E18=""),"",SUM(D18:E18))</f>
      </c>
      <c r="H18" s="7">
        <f>IFERROR(IF(E18="","",G18/E18),"")</f>
      </c>
    </row>
    <row r="19" ht="18" customHeight="1" spans="1:8" x14ac:dyDescent="0.25">
      <c r="A19" s="5"/>
      <c r="F19">
        <f>IF(AND(D19="",E19=""),"",SUM(D19:E19))</f>
      </c>
      <c r="H19" s="7">
        <f>IFERROR(IF(E19="","",G19/E19),"")</f>
      </c>
    </row>
    <row r="20" ht="18" customHeight="1" spans="1:8" x14ac:dyDescent="0.25">
      <c r="A20" s="5"/>
      <c r="F20">
        <f>IF(AND(D20="",E20=""),"",SUM(D20:E20))</f>
      </c>
      <c r="H20" s="7">
        <f>IFERROR(IF(E20="","",G20/E20),"")</f>
      </c>
    </row>
    <row r="21" ht="18" customHeight="1" spans="1:8" x14ac:dyDescent="0.25">
      <c r="A21" s="5"/>
      <c r="F21">
        <f>IF(AND(D21="",E21=""),"",SUM(D21:E21))</f>
      </c>
      <c r="H21" s="7">
        <f>IFERROR(IF(E21="","",G21/E21),"")</f>
      </c>
    </row>
    <row r="22" ht="18" customHeight="1" spans="1:8" x14ac:dyDescent="0.25">
      <c r="A22" s="5"/>
      <c r="F22">
        <f>IF(AND(D22="",E22=""),"",SUM(D22:E22))</f>
      </c>
      <c r="H22" s="7">
        <f>IFERROR(IF(E22="","",G22/E22),"")</f>
      </c>
    </row>
    <row r="23" ht="18" customHeight="1" spans="1:8" x14ac:dyDescent="0.25">
      <c r="A23" s="5"/>
      <c r="F23">
        <f>IF(AND(D23="",E23=""),"",SUM(D23:E23))</f>
      </c>
      <c r="H23" s="7">
        <f>IFERROR(IF(E23="","",G23/E23),"")</f>
      </c>
    </row>
    <row r="24" ht="18" customHeight="1" spans="1:8" x14ac:dyDescent="0.25">
      <c r="A24" s="5"/>
      <c r="F24">
        <f>IF(AND(D24="",E24=""),"",SUM(D24:E24))</f>
      </c>
      <c r="H24" s="7">
        <f>IFERROR(IF(E24="","",G24/E24),"")</f>
      </c>
    </row>
    <row r="25" ht="18" customHeight="1" spans="1:8" x14ac:dyDescent="0.25">
      <c r="A25" s="5"/>
      <c r="F25">
        <f>IF(AND(D25="",E25=""),"",SUM(D25:E25))</f>
      </c>
      <c r="H25" s="7">
        <f>IFERROR(IF(E25="","",G25/E25),"")</f>
      </c>
    </row>
    <row r="26" ht="18" customHeight="1" spans="1:8" x14ac:dyDescent="0.25">
      <c r="A26" s="5"/>
      <c r="F26">
        <f>IF(AND(D26="",E26=""),"",SUM(D26:E26))</f>
      </c>
      <c r="H26" s="7">
        <f>IFERROR(IF(E26="","",G26/E26),"")</f>
      </c>
    </row>
    <row r="27" ht="18" customHeight="1" spans="1:8" x14ac:dyDescent="0.25">
      <c r="A27" s="5"/>
      <c r="F27">
        <f>IF(AND(D27="",E27=""),"",SUM(D27:E27))</f>
      </c>
      <c r="H27" s="7">
        <f>IFERROR(IF(E27="","",G27/E27),"")</f>
      </c>
    </row>
    <row r="28" ht="18" customHeight="1" spans="1:8" x14ac:dyDescent="0.25">
      <c r="A28" s="5"/>
      <c r="F28">
        <f>IF(AND(D28="",E28=""),"",SUM(D28:E28))</f>
      </c>
      <c r="H28" s="7">
        <f>IFERROR(IF(E28="","",G28/E28),"")</f>
      </c>
    </row>
    <row r="29" ht="18" customHeight="1" spans="1:8" x14ac:dyDescent="0.25">
      <c r="A29" s="5"/>
      <c r="F29">
        <f>IF(AND(D29="",E29=""),"",SUM(D29:E29))</f>
      </c>
      <c r="H29" s="7">
        <f>IFERROR(IF(E29="","",G29/E29),"")</f>
      </c>
    </row>
    <row r="30" ht="18" customHeight="1" spans="1:8" x14ac:dyDescent="0.25">
      <c r="A30" s="5"/>
      <c r="F30">
        <f>IF(AND(D30="",E30=""),"",SUM(D30:E30))</f>
      </c>
      <c r="H30" s="7">
        <f>IFERROR(IF(E30="","",G30/E30),"")</f>
      </c>
    </row>
    <row r="31" ht="18" customHeight="1" spans="1:8" x14ac:dyDescent="0.25">
      <c r="A31" s="5"/>
      <c r="F31">
        <f>IF(AND(D31="",E31=""),"",SUM(D31:E31))</f>
      </c>
      <c r="H31" s="7">
        <f>IFERROR(IF(E31="","",G31/E31),"")</f>
      </c>
    </row>
    <row r="32" ht="18" customHeight="1" spans="1:8" x14ac:dyDescent="0.25">
      <c r="A32" s="5"/>
      <c r="F32">
        <f>IF(AND(D32="",E32=""),"",SUM(D32:E32))</f>
      </c>
      <c r="H32" s="7">
        <f>IFERROR(IF(E32="","",G32/E32),"")</f>
      </c>
    </row>
    <row r="33" ht="18" customHeight="1" spans="1:8" x14ac:dyDescent="0.25">
      <c r="A33" s="5"/>
      <c r="F33">
        <f>IF(AND(D33="",E33=""),"",SUM(D33:E33))</f>
      </c>
      <c r="H33" s="7">
        <f>IFERROR(IF(E33="","",G33/E33),"")</f>
      </c>
    </row>
    <row r="34" ht="18" customHeight="1" spans="1:8" x14ac:dyDescent="0.25">
      <c r="A34" s="5"/>
      <c r="F34">
        <f>IF(AND(D34="",E34=""),"",SUM(D34:E34))</f>
      </c>
      <c r="H34" s="7">
        <f>IFERROR(IF(E34="","",G34/E34),"")</f>
      </c>
    </row>
    <row r="35" ht="18" customHeight="1" spans="1:8" x14ac:dyDescent="0.25">
      <c r="A35" s="5"/>
      <c r="F35">
        <f>IF(AND(D35="",E35=""),"",SUM(D35:E35))</f>
      </c>
      <c r="H35" s="7">
        <f>IFERROR(IF(E35="","",G35/E35),"")</f>
      </c>
    </row>
    <row r="36" ht="18" customHeight="1" spans="1:8" x14ac:dyDescent="0.25">
      <c r="A36" s="5"/>
      <c r="F36">
        <f>IF(AND(D36="",E36=""),"",SUM(D36:E36))</f>
      </c>
      <c r="H36" s="7">
        <f>IFERROR(IF(E36="","",G36/E36),"")</f>
      </c>
    </row>
    <row r="37" ht="18" customHeight="1" spans="1:8" x14ac:dyDescent="0.25">
      <c r="A37" s="5"/>
      <c r="F37">
        <f>IF(AND(D37="",E37=""),"",SUM(D37:E37))</f>
      </c>
      <c r="H37" s="7">
        <f>IFERROR(IF(E37="","",G37/E37),"")</f>
      </c>
    </row>
    <row r="38" ht="18" customHeight="1" spans="1:8" x14ac:dyDescent="0.25">
      <c r="A38" s="5"/>
      <c r="F38">
        <f>IF(AND(D38="",E38=""),"",SUM(D38:E38))</f>
      </c>
      <c r="H38" s="7">
        <f>IFERROR(IF(E38="","",G38/E38),"")</f>
      </c>
    </row>
    <row r="39" ht="18" customHeight="1" spans="1:8" x14ac:dyDescent="0.25">
      <c r="A39" s="5"/>
      <c r="F39">
        <f>IF(AND(D39="",E39=""),"",SUM(D39:E39))</f>
      </c>
      <c r="H39" s="7">
        <f>IFERROR(IF(E39="","",G39/E39),"")</f>
      </c>
    </row>
    <row r="40" ht="18" customHeight="1" spans="1:8" x14ac:dyDescent="0.25">
      <c r="A40" s="5"/>
      <c r="F40">
        <f>IF(AND(D40="",E40=""),"",SUM(D40:E40))</f>
      </c>
      <c r="H40" s="7">
        <f>IFERROR(IF(E40="","",G40/E40),"")</f>
      </c>
    </row>
    <row r="41" ht="18" customHeight="1" spans="1:8" x14ac:dyDescent="0.25">
      <c r="A41" s="5"/>
      <c r="F41">
        <f>IF(AND(D41="",E41=""),"",SUM(D41:E41))</f>
      </c>
      <c r="H41" s="7">
        <f>IFERROR(IF(E41="","",G41/E41),"")</f>
      </c>
    </row>
    <row r="42" ht="18" customHeight="1" spans="1:8" x14ac:dyDescent="0.25">
      <c r="A42" s="5"/>
      <c r="F42">
        <f>IF(AND(D42="",E42=""),"",SUM(D42:E42))</f>
      </c>
      <c r="H42" s="7">
        <f>IFERROR(IF(E42="","",G42/E42),"")</f>
      </c>
    </row>
    <row r="43" ht="18" customHeight="1" spans="1:8" x14ac:dyDescent="0.25">
      <c r="A43" s="5"/>
      <c r="F43">
        <f>IF(AND(D43="",E43=""),"",SUM(D43:E43))</f>
      </c>
      <c r="H43" s="7">
        <f>IFERROR(IF(E43="","",G43/E43),"")</f>
      </c>
    </row>
    <row r="44" ht="18" customHeight="1" spans="1:8" x14ac:dyDescent="0.25">
      <c r="A44" s="5"/>
      <c r="F44">
        <f>IF(AND(D44="",E44=""),"",SUM(D44:E44))</f>
      </c>
      <c r="H44" s="7">
        <f>IFERROR(IF(E44="","",G44/E44),"")</f>
      </c>
    </row>
    <row r="45" ht="18" customHeight="1" spans="1:8" x14ac:dyDescent="0.25">
      <c r="A45" s="5"/>
      <c r="F45">
        <f>IF(AND(D45="",E45=""),"",SUM(D45:E45))</f>
      </c>
      <c r="H45" s="7">
        <f>IFERROR(IF(E45="","",G45/E45),"")</f>
      </c>
    </row>
    <row r="46" ht="18" customHeight="1" spans="1:8" x14ac:dyDescent="0.25">
      <c r="A46" s="5"/>
      <c r="F46">
        <f>IF(AND(D46="",E46=""),"",SUM(D46:E46))</f>
      </c>
      <c r="H46" s="7">
        <f>IFERROR(IF(E46="","",G46/E46),"")</f>
      </c>
    </row>
    <row r="47" ht="18" customHeight="1" spans="1:8" x14ac:dyDescent="0.25">
      <c r="A47" s="5"/>
      <c r="F47">
        <f>IF(AND(D47="",E47=""),"",SUM(D47:E47))</f>
      </c>
      <c r="H47" s="7">
        <f>IFERROR(IF(E47="","",G47/E47),"")</f>
      </c>
    </row>
    <row r="48" ht="18" customHeight="1" spans="1:8" x14ac:dyDescent="0.25">
      <c r="A48" s="5"/>
      <c r="F48">
        <f>IF(AND(D48="",E48=""),"",SUM(D48:E48))</f>
      </c>
      <c r="H48" s="7">
        <f>IFERROR(IF(E48="","",G48/E48),"")</f>
      </c>
    </row>
    <row r="49" ht="18" customHeight="1" spans="1:8" x14ac:dyDescent="0.25">
      <c r="A49" s="5"/>
      <c r="F49">
        <f>IF(AND(D49="",E49=""),"",SUM(D49:E49))</f>
      </c>
      <c r="H49" s="7">
        <f>IFERROR(IF(E49="","",G49/E49),"")</f>
      </c>
    </row>
    <row r="50" ht="18" customHeight="1" spans="1:8" x14ac:dyDescent="0.25">
      <c r="A50" s="5"/>
      <c r="F50">
        <f>IF(AND(D50="",E50=""),"",SUM(D50:E50))</f>
      </c>
      <c r="H50" s="7">
        <f>IFERROR(IF(E50="","",G50/E50),"")</f>
      </c>
    </row>
    <row r="51" ht="18" customHeight="1" spans="1:8" x14ac:dyDescent="0.25">
      <c r="A51" s="5"/>
      <c r="F51">
        <f>IF(AND(D51="",E51=""),"",SUM(D51:E51))</f>
      </c>
      <c r="H51" s="7">
        <f>IFERROR(IF(E51="","",G51/E51),"")</f>
      </c>
    </row>
    <row r="52" ht="18" customHeight="1" spans="1:8" x14ac:dyDescent="0.25">
      <c r="A52" s="5"/>
      <c r="F52">
        <f>IF(AND(D52="",E52=""),"",SUM(D52:E52))</f>
      </c>
      <c r="H52" s="7">
        <f>IFERROR(IF(E52="","",G52/E52),"")</f>
      </c>
    </row>
    <row r="53" ht="18" customHeight="1" spans="1:8" x14ac:dyDescent="0.25">
      <c r="A53" s="5"/>
      <c r="F53">
        <f>IF(AND(D53="",E53=""),"",SUM(D53:E53))</f>
      </c>
      <c r="H53" s="7">
        <f>IFERROR(IF(E53="","",G53/E53),"")</f>
      </c>
    </row>
    <row r="54" ht="18" customHeight="1" spans="1:8" x14ac:dyDescent="0.25">
      <c r="A54" s="5"/>
      <c r="F54">
        <f>IF(AND(D54="",E54=""),"",SUM(D54:E54))</f>
      </c>
      <c r="H54" s="7">
        <f>IFERROR(IF(E54="","",G54/E54),"")</f>
      </c>
    </row>
    <row r="55" ht="18" customHeight="1" spans="1:8" x14ac:dyDescent="0.25">
      <c r="A55" s="5"/>
      <c r="F55">
        <f>IF(AND(D55="",E55=""),"",SUM(D55:E55))</f>
      </c>
      <c r="H55" s="7">
        <f>IFERROR(IF(E55="","",G55/E55),"")</f>
      </c>
    </row>
    <row r="56" ht="18" customHeight="1" spans="1:8" x14ac:dyDescent="0.25">
      <c r="A56" s="5"/>
      <c r="F56">
        <f>IF(AND(D56="",E56=""),"",SUM(D56:E56))</f>
      </c>
      <c r="H56" s="7">
        <f>IFERROR(IF(E56="","",G56/E56),"")</f>
      </c>
    </row>
    <row r="57" ht="18" customHeight="1" spans="1:8" x14ac:dyDescent="0.25">
      <c r="A57" s="5"/>
      <c r="F57">
        <f>IF(AND(D57="",E57=""),"",SUM(D57:E57))</f>
      </c>
      <c r="H57" s="7">
        <f>IFERROR(IF(E57="","",G57/E57),"")</f>
      </c>
    </row>
    <row r="58" ht="18" customHeight="1" spans="1:8" x14ac:dyDescent="0.25">
      <c r="A58" s="5"/>
      <c r="F58">
        <f>IF(AND(D58="",E58=""),"",SUM(D58:E58))</f>
      </c>
      <c r="H58" s="7">
        <f>IFERROR(IF(E58="","",G58/E58),"")</f>
      </c>
    </row>
    <row r="59" ht="18" customHeight="1" spans="1:8" x14ac:dyDescent="0.25">
      <c r="A59" s="5"/>
      <c r="F59">
        <f>IF(AND(D59="",E59=""),"",SUM(D59:E59))</f>
      </c>
      <c r="H59" s="7">
        <f>IFERROR(IF(E59="","",G59/E59),"")</f>
      </c>
    </row>
    <row r="60" ht="18" customHeight="1" spans="1:8" x14ac:dyDescent="0.25">
      <c r="A60" s="5"/>
      <c r="F60">
        <f>IF(AND(D60="",E60=""),"",SUM(D60:E60))</f>
      </c>
      <c r="H60" s="7">
        <f>IFERROR(IF(E60="","",G60/E60),"")</f>
      </c>
    </row>
    <row r="61" ht="18" customHeight="1" spans="1:8" x14ac:dyDescent="0.25">
      <c r="A61" s="5"/>
      <c r="F61">
        <f>IF(AND(D61="",E61=""),"",SUM(D61:E61))</f>
      </c>
      <c r="H61" s="7">
        <f>IFERROR(IF(E61="","",G61/E61),"")</f>
      </c>
    </row>
    <row r="62" ht="18" customHeight="1" spans="1:8" x14ac:dyDescent="0.25">
      <c r="A62" s="5"/>
      <c r="F62">
        <f>IF(AND(D62="",E62=""),"",SUM(D62:E62))</f>
      </c>
      <c r="H62" s="7">
        <f>IFERROR(IF(E62="","",G62/E62),"")</f>
      </c>
    </row>
    <row r="63" ht="18" customHeight="1" spans="1:8" x14ac:dyDescent="0.25">
      <c r="A63" s="5"/>
      <c r="F63">
        <f>IF(AND(D63="",E63=""),"",SUM(D63:E63))</f>
      </c>
      <c r="H63" s="7">
        <f>IFERROR(IF(E63="","",G63/E63),"")</f>
      </c>
    </row>
    <row r="64" ht="18" customHeight="1" spans="1:8" x14ac:dyDescent="0.25">
      <c r="A64" s="5"/>
      <c r="F64">
        <f>IF(AND(D64="",E64=""),"",SUM(D64:E64))</f>
      </c>
      <c r="H64" s="7">
        <f>IFERROR(IF(E64="","",G64/E64),"")</f>
      </c>
    </row>
    <row r="65" ht="18" customHeight="1" spans="1:8" x14ac:dyDescent="0.25">
      <c r="A65" s="5"/>
      <c r="F65">
        <f>IF(AND(D65="",E65=""),"",SUM(D65:E65))</f>
      </c>
      <c r="H65" s="7">
        <f>IFERROR(IF(E65="","",G65/E65),"")</f>
      </c>
    </row>
    <row r="66" ht="18" customHeight="1" spans="1:8" x14ac:dyDescent="0.25">
      <c r="A66" s="5"/>
      <c r="F66">
        <f>IF(AND(D66="",E66=""),"",SUM(D66:E66))</f>
      </c>
      <c r="H66" s="7">
        <f>IFERROR(IF(E66="","",G66/E66),"")</f>
      </c>
    </row>
    <row r="67" ht="18" customHeight="1" spans="1:8" x14ac:dyDescent="0.25">
      <c r="A67" s="5"/>
      <c r="F67">
        <f>IF(AND(D67="",E67=""),"",SUM(D67:E67))</f>
      </c>
      <c r="H67" s="7">
        <f>IFERROR(IF(E67="","",G67/E67),"")</f>
      </c>
    </row>
    <row r="68" ht="18" customHeight="1" spans="1:8" x14ac:dyDescent="0.25">
      <c r="A68" s="5"/>
      <c r="F68">
        <f>IF(AND(D68="",E68=""),"",SUM(D68:E68))</f>
      </c>
      <c r="H68" s="7">
        <f>IFERROR(IF(E68="","",G68/E68),"")</f>
      </c>
    </row>
    <row r="69" ht="18" customHeight="1" spans="1:8" x14ac:dyDescent="0.25">
      <c r="A69" s="5"/>
      <c r="F69">
        <f>IF(AND(D69="",E69=""),"",SUM(D69:E69))</f>
      </c>
      <c r="H69" s="7">
        <f>IFERROR(IF(E69="","",G69/E69),"")</f>
      </c>
    </row>
    <row r="70" ht="18" customHeight="1" spans="1:8" x14ac:dyDescent="0.25">
      <c r="A70" s="5"/>
      <c r="F70">
        <f>IF(AND(D70="",E70=""),"",SUM(D70:E70))</f>
      </c>
      <c r="H70" s="7">
        <f>IFERROR(IF(E70="","",G70/E70),"")</f>
      </c>
    </row>
    <row r="71" ht="18" customHeight="1" spans="1:8" x14ac:dyDescent="0.25">
      <c r="A71" s="5"/>
      <c r="F71">
        <f>IF(AND(D71="",E71=""),"",SUM(D71:E71))</f>
      </c>
      <c r="H71" s="7">
        <f>IFERROR(IF(E71="","",G71/E71),"")</f>
      </c>
    </row>
    <row r="72" ht="18" customHeight="1" spans="1:8" x14ac:dyDescent="0.25">
      <c r="A72" s="5"/>
      <c r="F72">
        <f>IF(AND(D72="",E72=""),"",SUM(D72:E72))</f>
      </c>
      <c r="H72" s="7">
        <f>IFERROR(IF(E72="","",G72/E72),"")</f>
      </c>
    </row>
    <row r="73" ht="18" customHeight="1" spans="1:8" x14ac:dyDescent="0.25">
      <c r="A73" s="5"/>
      <c r="F73">
        <f>IF(AND(D73="",E73=""),"",SUM(D73:E73))</f>
      </c>
      <c r="H73" s="7">
        <f>IFERROR(IF(E73="","",G73/E73),"")</f>
      </c>
    </row>
    <row r="74" ht="18" customHeight="1" spans="1:8" x14ac:dyDescent="0.25">
      <c r="A74" s="5"/>
      <c r="F74">
        <f>IF(AND(D74="",E74=""),"",SUM(D74:E74))</f>
      </c>
      <c r="H74" s="7">
        <f>IFERROR(IF(E74="","",G74/E74),"")</f>
      </c>
    </row>
    <row r="75" ht="18" customHeight="1" spans="1:8" x14ac:dyDescent="0.25">
      <c r="A75" s="5"/>
      <c r="F75">
        <f>IF(AND(D75="",E75=""),"",SUM(D75:E75))</f>
      </c>
      <c r="H75" s="7">
        <f>IFERROR(IF(E75="","",G75/E75),"")</f>
      </c>
    </row>
    <row r="76" ht="18" customHeight="1" spans="1:8" x14ac:dyDescent="0.25">
      <c r="A76" s="5"/>
      <c r="F76">
        <f>IF(AND(D76="",E76=""),"",SUM(D76:E76))</f>
      </c>
      <c r="H76" s="7">
        <f>IFERROR(IF(E76="","",G76/E76),"")</f>
      </c>
    </row>
    <row r="77" ht="18" customHeight="1" spans="1:8" x14ac:dyDescent="0.25">
      <c r="A77" s="5"/>
      <c r="F77">
        <f>IF(AND(D77="",E77=""),"",SUM(D77:E77))</f>
      </c>
      <c r="H77" s="7">
        <f>IFERROR(IF(E77="","",G77/E77),"")</f>
      </c>
    </row>
    <row r="78" ht="18" customHeight="1" spans="1:8" x14ac:dyDescent="0.25">
      <c r="A78" s="5"/>
      <c r="F78">
        <f>IF(AND(D78="",E78=""),"",SUM(D78:E78))</f>
      </c>
      <c r="H78" s="7">
        <f>IFERROR(IF(E78="","",G78/E78),"")</f>
      </c>
    </row>
    <row r="79" ht="18" customHeight="1" spans="1:8" x14ac:dyDescent="0.25">
      <c r="A79" s="5"/>
      <c r="F79">
        <f>IF(AND(D79="",E79=""),"",SUM(D79:E79))</f>
      </c>
      <c r="H79" s="7">
        <f>IFERROR(IF(E79="","",G79/E79),"")</f>
      </c>
    </row>
    <row r="80" ht="18" customHeight="1" spans="1:8" x14ac:dyDescent="0.25">
      <c r="A80" s="5"/>
      <c r="F80">
        <f>IF(AND(D80="",E80=""),"",SUM(D80:E80))</f>
      </c>
      <c r="H80" s="7">
        <f>IFERROR(IF(E80="","",G80/E80),"")</f>
      </c>
    </row>
    <row r="81" ht="18" customHeight="1" spans="1:8" x14ac:dyDescent="0.25">
      <c r="A81" s="5"/>
      <c r="F81">
        <f>IF(AND(D81="",E81=""),"",SUM(D81:E81))</f>
      </c>
      <c r="H81" s="7">
        <f>IFERROR(IF(E81="","",G81/E81),"")</f>
      </c>
    </row>
    <row r="82" ht="18" customHeight="1" spans="1:8" x14ac:dyDescent="0.25">
      <c r="A82" s="5"/>
      <c r="F82">
        <f>IF(AND(D82="",E82=""),"",SUM(D82:E82))</f>
      </c>
      <c r="H82" s="7">
        <f>IFERROR(IF(E82="","",G82/E82),"")</f>
      </c>
    </row>
    <row r="83" ht="18" customHeight="1" spans="1:8" x14ac:dyDescent="0.25">
      <c r="A83" s="5"/>
      <c r="F83">
        <f>IF(AND(D83="",E83=""),"",SUM(D83:E83))</f>
      </c>
      <c r="H83" s="7">
        <f>IFERROR(IF(E83="","",G83/E83),"")</f>
      </c>
    </row>
    <row r="84" ht="18" customHeight="1" spans="1:8" x14ac:dyDescent="0.25">
      <c r="A84" s="5"/>
      <c r="F84">
        <f>IF(AND(D84="",E84=""),"",SUM(D84:E84))</f>
      </c>
      <c r="H84" s="7">
        <f>IFERROR(IF(E84="","",G84/E84),"")</f>
      </c>
    </row>
    <row r="85" ht="18" customHeight="1" spans="1:8" x14ac:dyDescent="0.25">
      <c r="A85" s="5"/>
      <c r="F85">
        <f>IF(AND(D85="",E85=""),"",SUM(D85:E85))</f>
      </c>
      <c r="H85" s="7">
        <f>IFERROR(IF(E85="","",G85/E85),"")</f>
      </c>
    </row>
    <row r="86" ht="18" customHeight="1" spans="1:8" x14ac:dyDescent="0.25">
      <c r="A86" s="5"/>
      <c r="F86">
        <f>IF(AND(D86="",E86=""),"",SUM(D86:E86))</f>
      </c>
      <c r="H86" s="7">
        <f>IFERROR(IF(E86="","",G86/E86),"")</f>
      </c>
    </row>
    <row r="87" ht="18" customHeight="1" spans="1:8" x14ac:dyDescent="0.25">
      <c r="A87" s="5"/>
      <c r="F87">
        <f>IF(AND(D87="",E87=""),"",SUM(D87:E87))</f>
      </c>
      <c r="H87" s="7">
        <f>IFERROR(IF(E87="","",G87/E87),"")</f>
      </c>
    </row>
    <row r="88" ht="18" customHeight="1" spans="1:8" x14ac:dyDescent="0.25">
      <c r="A88" s="5"/>
      <c r="F88">
        <f>IF(AND(D88="",E88=""),"",SUM(D88:E88))</f>
      </c>
      <c r="H88" s="7">
        <f>IFERROR(IF(E88="","",G88/E88),"")</f>
      </c>
    </row>
    <row r="89" ht="18" customHeight="1" spans="1:8" x14ac:dyDescent="0.25">
      <c r="A89" s="5"/>
      <c r="F89">
        <f>IF(AND(D89="",E89=""),"",SUM(D89:E89))</f>
      </c>
      <c r="H89" s="7">
        <f>IFERROR(IF(E89="","",G89/E89),"")</f>
      </c>
    </row>
    <row r="90" ht="18" customHeight="1" spans="1:8" x14ac:dyDescent="0.25">
      <c r="A90" s="5"/>
      <c r="F90">
        <f>IF(AND(D90="",E90=""),"",SUM(D90:E90))</f>
      </c>
      <c r="H90" s="7">
        <f>IFERROR(IF(E90="","",G90/E90),"")</f>
      </c>
    </row>
    <row r="91" ht="18" customHeight="1" spans="1:8" x14ac:dyDescent="0.25">
      <c r="A91" s="5"/>
      <c r="F91">
        <f>IF(AND(D91="",E91=""),"",SUM(D91:E91))</f>
      </c>
      <c r="H91" s="7">
        <f>IFERROR(IF(E91="","",G91/E91),"")</f>
      </c>
    </row>
    <row r="92" ht="18" customHeight="1" spans="1:8" x14ac:dyDescent="0.25">
      <c r="A92" s="5"/>
      <c r="F92">
        <f>IF(AND(D92="",E92=""),"",SUM(D92:E92))</f>
      </c>
      <c r="H92" s="7">
        <f>IFERROR(IF(E92="","",G92/E92),"")</f>
      </c>
    </row>
    <row r="93" ht="18" customHeight="1" spans="1:8" x14ac:dyDescent="0.25">
      <c r="A93" s="5"/>
      <c r="F93">
        <f>IF(AND(D93="",E93=""),"",SUM(D93:E93))</f>
      </c>
      <c r="H93" s="7">
        <f>IFERROR(IF(E93="","",G93/E93),"")</f>
      </c>
    </row>
    <row r="94" ht="18" customHeight="1" spans="1:8" x14ac:dyDescent="0.25">
      <c r="A94" s="5"/>
      <c r="F94">
        <f>IF(AND(D94="",E94=""),"",SUM(D94:E94))</f>
      </c>
      <c r="H94" s="7">
        <f>IFERROR(IF(E94="","",G94/E94),"")</f>
      </c>
    </row>
    <row r="95" ht="18" customHeight="1" spans="1:8" x14ac:dyDescent="0.25">
      <c r="A95" s="5"/>
      <c r="F95">
        <f>IF(AND(D95="",E95=""),"",SUM(D95:E95))</f>
      </c>
      <c r="H95" s="7">
        <f>IFERROR(IF(E95="","",G95/E95),"")</f>
      </c>
    </row>
    <row r="96" ht="18" customHeight="1" spans="1:8" x14ac:dyDescent="0.25">
      <c r="A96" s="5"/>
      <c r="F96">
        <f>IF(AND(D96="",E96=""),"",SUM(D96:E96))</f>
      </c>
      <c r="H96" s="7">
        <f>IFERROR(IF(E96="","",G96/E96),"")</f>
      </c>
    </row>
    <row r="97" ht="18" customHeight="1" spans="1:8" x14ac:dyDescent="0.25">
      <c r="A97" s="5"/>
      <c r="F97">
        <f>IF(AND(D97="",E97=""),"",SUM(D97:E97))</f>
      </c>
      <c r="H97" s="7">
        <f>IFERROR(IF(E97="","",G97/E97),"")</f>
      </c>
    </row>
    <row r="98" ht="18" customHeight="1" spans="1:8" x14ac:dyDescent="0.25">
      <c r="A98" s="5"/>
      <c r="F98">
        <f>IF(AND(D98="",E98=""),"",SUM(D98:E98))</f>
      </c>
      <c r="H98" s="7">
        <f>IFERROR(IF(E98="","",G98/E98),"")</f>
      </c>
    </row>
    <row r="99" ht="18" customHeight="1" spans="1:8" x14ac:dyDescent="0.25">
      <c r="A99" s="5"/>
      <c r="F99">
        <f>IF(AND(D99="",E99=""),"",SUM(D99:E99))</f>
      </c>
      <c r="H99" s="7">
        <f>IFERROR(IF(E99="","",G99/E99),"")</f>
      </c>
    </row>
    <row r="100" ht="18" customHeight="1" spans="1:8" x14ac:dyDescent="0.25">
      <c r="A100" s="5"/>
      <c r="F100">
        <f>IF(AND(D100="",E100=""),"",SUM(D100:E100))</f>
      </c>
      <c r="H100" s="7">
        <f>IFERROR(IF(E100="","",G100/E100),"")</f>
      </c>
    </row>
    <row r="101" ht="18" customHeight="1" spans="1:8" x14ac:dyDescent="0.25">
      <c r="A101" s="5"/>
      <c r="F101">
        <f>IF(AND(D101="",E101=""),"",SUM(D101:E101))</f>
      </c>
      <c r="H101" s="7">
        <f>IFERROR(IF(E101="","",G101/E101),"")</f>
      </c>
    </row>
    <row r="102" ht="18" customHeight="1" spans="1:8" x14ac:dyDescent="0.25">
      <c r="A102" s="5"/>
      <c r="F102">
        <f>IF(AND(D102="",E102=""),"",SUM(D102:E102))</f>
      </c>
      <c r="H102" s="7">
        <f>IFERROR(IF(E102="","",G102/E102),"")</f>
      </c>
    </row>
    <row r="103" ht="18" customHeight="1" spans="1:8" x14ac:dyDescent="0.25">
      <c r="A103" s="5"/>
      <c r="F103">
        <f>IF(AND(D103="",E103=""),"",SUM(D103:E103))</f>
      </c>
      <c r="H103" s="7">
        <f>IFERROR(IF(E103="","",G103/E103),"")</f>
      </c>
    </row>
    <row r="104" ht="18" customHeight="1" spans="1:8" x14ac:dyDescent="0.25">
      <c r="A104" s="5"/>
      <c r="F104">
        <f>IF(AND(D104="",E104=""),"",SUM(D104:E104))</f>
      </c>
      <c r="H104" s="7">
        <f>IFERROR(IF(E104="","",G104/E104),"")</f>
      </c>
    </row>
    <row r="105" ht="18" customHeight="1" spans="1:8" x14ac:dyDescent="0.25">
      <c r="A105" s="5"/>
      <c r="F105">
        <f>IF(AND(D105="",E105=""),"",SUM(D105:E105))</f>
      </c>
      <c r="H105" s="7">
        <f>IFERROR(IF(E105="","",G105/E105),"")</f>
      </c>
    </row>
    <row r="106" ht="18" customHeight="1" spans="1:8" x14ac:dyDescent="0.25">
      <c r="A106" s="5"/>
      <c r="F106">
        <f>IF(AND(D106="",E106=""),"",SUM(D106:E106))</f>
      </c>
      <c r="H106" s="7">
        <f>IFERROR(IF(E106="","",G106/E106),"")</f>
      </c>
    </row>
    <row r="107" ht="18" customHeight="1" spans="1:8" x14ac:dyDescent="0.25">
      <c r="A107" s="5"/>
      <c r="F107">
        <f>IF(AND(D107="",E107=""),"",SUM(D107:E107))</f>
      </c>
      <c r="H107" s="7">
        <f>IFERROR(IF(E107="","",G107/E107),"")</f>
      </c>
    </row>
    <row r="108" ht="18" customHeight="1" spans="1:8" x14ac:dyDescent="0.25">
      <c r="A108" s="5"/>
      <c r="F108">
        <f>IF(AND(D108="",E108=""),"",SUM(D108:E108))</f>
      </c>
      <c r="H108" s="7">
        <f>IFERROR(IF(E108="","",G108/E108),"")</f>
      </c>
    </row>
    <row r="109" ht="18" customHeight="1" spans="1:8" x14ac:dyDescent="0.25">
      <c r="A109" s="5"/>
      <c r="F109">
        <f>IF(AND(D109="",E109=""),"",SUM(D109:E109))</f>
      </c>
      <c r="H109" s="7">
        <f>IFERROR(IF(E109="","",G109/E109),"")</f>
      </c>
    </row>
    <row r="110" ht="18" customHeight="1" spans="1:8" x14ac:dyDescent="0.25">
      <c r="A110" s="5"/>
      <c r="F110">
        <f>IF(AND(D110="",E110=""),"",SUM(D110:E110))</f>
      </c>
      <c r="H110" s="7">
        <f>IFERROR(IF(E110="","",G110/E110),"")</f>
      </c>
    </row>
    <row r="111" ht="18" customHeight="1" spans="1:8" x14ac:dyDescent="0.25">
      <c r="A111" s="5"/>
      <c r="F111">
        <f>IF(AND(D111="",E111=""),"",SUM(D111:E111))</f>
      </c>
      <c r="H111" s="7">
        <f>IFERROR(IF(E111="","",G111/E111),"")</f>
      </c>
    </row>
    <row r="112" ht="18" customHeight="1" spans="1:8" x14ac:dyDescent="0.25">
      <c r="A112" s="5"/>
      <c r="F112">
        <f>IF(AND(D112="",E112=""),"",SUM(D112:E112))</f>
      </c>
      <c r="H112" s="7">
        <f>IFERROR(IF(E112="","",G112/E112),"")</f>
      </c>
    </row>
    <row r="113" ht="18" customHeight="1" spans="1:8" x14ac:dyDescent="0.25">
      <c r="A113" s="5"/>
      <c r="F113">
        <f>IF(AND(D113="",E113=""),"",SUM(D113:E113))</f>
      </c>
      <c r="H113" s="7">
        <f>IFERROR(IF(E113="","",G113/E113),"")</f>
      </c>
    </row>
    <row r="114" ht="18" customHeight="1" spans="1:8" x14ac:dyDescent="0.25">
      <c r="A114" s="5"/>
      <c r="F114">
        <f>IF(AND(D114="",E114=""),"",SUM(D114:E114))</f>
      </c>
      <c r="H114" s="7">
        <f>IFERROR(IF(E114="","",G114/E114),"")</f>
      </c>
    </row>
    <row r="115" ht="18" customHeight="1" spans="1:8" x14ac:dyDescent="0.25">
      <c r="A115" s="5"/>
      <c r="F115">
        <f>IF(AND(D115="",E115=""),"",SUM(D115:E115))</f>
      </c>
      <c r="H115" s="7">
        <f>IFERROR(IF(E115="","",G115/E115),"")</f>
      </c>
    </row>
    <row r="116" ht="18" customHeight="1" spans="1:8" x14ac:dyDescent="0.25">
      <c r="A116" s="5"/>
      <c r="F116">
        <f>IF(AND(D116="",E116=""),"",SUM(D116:E116))</f>
      </c>
      <c r="H116" s="7">
        <f>IFERROR(IF(E116="","",G116/E116),"")</f>
      </c>
    </row>
    <row r="117" ht="18" customHeight="1" spans="1:8" x14ac:dyDescent="0.25">
      <c r="A117" s="5"/>
      <c r="F117">
        <f>IF(AND(D117="",E117=""),"",SUM(D117:E117))</f>
      </c>
      <c r="H117" s="7">
        <f>IFERROR(IF(E117="","",G117/E117),"")</f>
      </c>
    </row>
    <row r="118" ht="18" customHeight="1" spans="1:8" x14ac:dyDescent="0.25">
      <c r="A118" s="5"/>
      <c r="F118">
        <f>IF(AND(D118="",E118=""),"",SUM(D118:E118))</f>
      </c>
      <c r="H118" s="7">
        <f>IFERROR(IF(E118="","",G118/E118),"")</f>
      </c>
    </row>
    <row r="119" ht="18" customHeight="1" spans="1:8" x14ac:dyDescent="0.25">
      <c r="A119" s="5"/>
      <c r="F119">
        <f>IF(AND(D119="",E119=""),"",SUM(D119:E119))</f>
      </c>
      <c r="H119" s="7">
        <f>IFERROR(IF(E119="","",G119/E119),"")</f>
      </c>
    </row>
    <row r="120" ht="18" customHeight="1" spans="1:8" x14ac:dyDescent="0.25">
      <c r="A120" s="5"/>
      <c r="F120">
        <f>IF(AND(D120="",E120=""),"",SUM(D120:E120))</f>
      </c>
      <c r="H120" s="7">
        <f>IFERROR(IF(E120="","",G120/E120),"")</f>
      </c>
    </row>
    <row r="121" ht="18" customHeight="1" spans="1:8" x14ac:dyDescent="0.25">
      <c r="A121" s="5"/>
      <c r="F121">
        <f>IF(AND(D121="",E121=""),"",SUM(D121:E121))</f>
      </c>
      <c r="H121" s="7">
        <f>IFERROR(IF(E121="","",G121/E121),"")</f>
      </c>
    </row>
    <row r="122" ht="18" customHeight="1" spans="1:8" x14ac:dyDescent="0.25">
      <c r="A122" s="5"/>
      <c r="F122">
        <f>IF(AND(D122="",E122=""),"",SUM(D122:E122))</f>
      </c>
      <c r="H122" s="7">
        <f>IFERROR(IF(E122="","",G122/E122),"")</f>
      </c>
    </row>
    <row r="123" ht="18" customHeight="1" spans="1:8" x14ac:dyDescent="0.25">
      <c r="A123" s="5"/>
      <c r="F123">
        <f>IF(AND(D123="",E123=""),"",SUM(D123:E123))</f>
      </c>
      <c r="H123" s="7">
        <f>IFERROR(IF(E123="","",G123/E123),"")</f>
      </c>
    </row>
    <row r="124" ht="18" customHeight="1" spans="1:8" x14ac:dyDescent="0.25">
      <c r="A124" s="5"/>
      <c r="F124">
        <f>IF(AND(D124="",E124=""),"",SUM(D124:E124))</f>
      </c>
      <c r="H124" s="7">
        <f>IFERROR(IF(E124="","",G124/E124),"")</f>
      </c>
    </row>
    <row r="125" ht="18" customHeight="1" spans="1:8" x14ac:dyDescent="0.25">
      <c r="A125" s="5"/>
      <c r="F125">
        <f>IF(AND(D125="",E125=""),"",SUM(D125:E125))</f>
      </c>
      <c r="H125" s="7">
        <f>IFERROR(IF(E125="","",G125/E125),"")</f>
      </c>
    </row>
    <row r="126" ht="18" customHeight="1" spans="1:8" x14ac:dyDescent="0.25">
      <c r="A126" s="5"/>
      <c r="F126">
        <f>IF(AND(D126="",E126=""),"",SUM(D126:E126))</f>
      </c>
      <c r="H126" s="7">
        <f>IFERROR(IF(E126="","",G126/E126),"")</f>
      </c>
    </row>
    <row r="127" ht="18" customHeight="1" spans="1:8" x14ac:dyDescent="0.25">
      <c r="A127" s="5"/>
      <c r="F127">
        <f>IF(AND(D127="",E127=""),"",SUM(D127:E127))</f>
      </c>
      <c r="H127" s="7">
        <f>IFERROR(IF(E127="","",G127/E127),"")</f>
      </c>
    </row>
    <row r="128" ht="18" customHeight="1" spans="1:8" x14ac:dyDescent="0.25">
      <c r="A128" s="5"/>
      <c r="F128">
        <f>IF(AND(D128="",E128=""),"",SUM(D128:E128))</f>
      </c>
      <c r="H128" s="7">
        <f>IFERROR(IF(E128="","",G128/E128),"")</f>
      </c>
    </row>
    <row r="129" ht="18" customHeight="1" spans="1:8" x14ac:dyDescent="0.25">
      <c r="A129" s="5"/>
      <c r="F129">
        <f>IF(AND(D129="",E129=""),"",SUM(D129:E129))</f>
      </c>
      <c r="H129" s="7">
        <f>IFERROR(IF(E129="","",G129/E129),"")</f>
      </c>
    </row>
    <row r="130" ht="18" customHeight="1" spans="1:8" x14ac:dyDescent="0.25">
      <c r="A130" s="5"/>
      <c r="F130">
        <f>IF(AND(D130="",E130=""),"",SUM(D130:E130))</f>
      </c>
      <c r="H130" s="7">
        <f>IFERROR(IF(E130="","",G130/E130),"")</f>
      </c>
    </row>
    <row r="131" ht="18" customHeight="1" spans="1:8" x14ac:dyDescent="0.25">
      <c r="A131" s="5"/>
      <c r="F131">
        <f>IF(AND(D131="",E131=""),"",SUM(D131:E131))</f>
      </c>
      <c r="H131" s="7">
        <f>IFERROR(IF(E131="","",G131/E131),"")</f>
      </c>
    </row>
    <row r="132" ht="18" customHeight="1" spans="1:8" x14ac:dyDescent="0.25">
      <c r="A132" s="5"/>
      <c r="F132">
        <f>IF(AND(D132="",E132=""),"",SUM(D132:E132))</f>
      </c>
      <c r="H132" s="7">
        <f>IFERROR(IF(E132="","",G132/E132),"")</f>
      </c>
    </row>
    <row r="133" ht="18" customHeight="1" spans="1:8" x14ac:dyDescent="0.25">
      <c r="A133" s="5"/>
      <c r="F133">
        <f>IF(AND(D133="",E133=""),"",SUM(D133:E133))</f>
      </c>
      <c r="H133" s="7">
        <f>IFERROR(IF(E133="","",G133/E133),"")</f>
      </c>
    </row>
    <row r="134" ht="18" customHeight="1" spans="1:8" x14ac:dyDescent="0.25">
      <c r="A134" s="5"/>
      <c r="F134">
        <f>IF(AND(D134="",E134=""),"",SUM(D134:E134))</f>
      </c>
      <c r="H134" s="7">
        <f>IFERROR(IF(E134="","",G134/E134),"")</f>
      </c>
    </row>
    <row r="135" ht="18" customHeight="1" spans="1:8" x14ac:dyDescent="0.25">
      <c r="A135" s="5"/>
      <c r="F135">
        <f>IF(AND(D135="",E135=""),"",SUM(D135:E135))</f>
      </c>
      <c r="H135" s="7">
        <f>IFERROR(IF(E135="","",G135/E135),"")</f>
      </c>
    </row>
    <row r="136" ht="18" customHeight="1" spans="1:8" x14ac:dyDescent="0.25">
      <c r="A136" s="5"/>
      <c r="F136">
        <f>IF(AND(D136="",E136=""),"",SUM(D136:E136))</f>
      </c>
      <c r="H136" s="7">
        <f>IFERROR(IF(E136="","",G136/E136),"")</f>
      </c>
    </row>
    <row r="137" ht="18" customHeight="1" spans="1:8" x14ac:dyDescent="0.25">
      <c r="A137" s="5"/>
      <c r="F137">
        <f>IF(AND(D137="",E137=""),"",SUM(D137:E137))</f>
      </c>
      <c r="H137" s="7">
        <f>IFERROR(IF(E137="","",G137/E137),"")</f>
      </c>
    </row>
    <row r="138" ht="18" customHeight="1" spans="1:8" x14ac:dyDescent="0.25">
      <c r="A138" s="5"/>
      <c r="F138">
        <f>IF(AND(D138="",E138=""),"",SUM(D138:E138))</f>
      </c>
      <c r="H138" s="7">
        <f>IFERROR(IF(E138="","",G138/E138),"")</f>
      </c>
    </row>
    <row r="139" ht="18" customHeight="1" spans="1:8" x14ac:dyDescent="0.25">
      <c r="A139" s="5"/>
      <c r="F139">
        <f>IF(AND(D139="",E139=""),"",SUM(D139:E139))</f>
      </c>
      <c r="H139" s="7">
        <f>IFERROR(IF(E139="","",G139/E139),"")</f>
      </c>
    </row>
    <row r="140" ht="18" customHeight="1" spans="1:8" x14ac:dyDescent="0.25">
      <c r="A140" s="5"/>
      <c r="F140">
        <f>IF(AND(D140="",E140=""),"",SUM(D140:E140))</f>
      </c>
      <c r="H140" s="7">
        <f>IFERROR(IF(E140="","",G140/E140),"")</f>
      </c>
    </row>
    <row r="141" ht="18" customHeight="1" spans="1:8" x14ac:dyDescent="0.25">
      <c r="A141" s="5"/>
      <c r="F141">
        <f>IF(AND(D141="",E141=""),"",SUM(D141:E141))</f>
      </c>
      <c r="H141" s="7">
        <f>IFERROR(IF(E141="","",G141/E141),"")</f>
      </c>
    </row>
    <row r="142" ht="18" customHeight="1" spans="1:8" x14ac:dyDescent="0.25">
      <c r="A142" s="5"/>
      <c r="F142">
        <f>IF(AND(D142="",E142=""),"",SUM(D142:E142))</f>
      </c>
      <c r="H142" s="7">
        <f>IFERROR(IF(E142="","",G142/E142),"")</f>
      </c>
    </row>
    <row r="143" ht="18" customHeight="1" spans="1:8" x14ac:dyDescent="0.25">
      <c r="A143" s="5"/>
      <c r="F143">
        <f>IF(AND(D143="",E143=""),"",SUM(D143:E143))</f>
      </c>
      <c r="H143" s="7">
        <f>IFERROR(IF(E143="","",G143/E143),"")</f>
      </c>
    </row>
    <row r="144" ht="18" customHeight="1" spans="1:8" x14ac:dyDescent="0.25">
      <c r="A144" s="5"/>
      <c r="F144">
        <f>IF(AND(D144="",E144=""),"",SUM(D144:E144))</f>
      </c>
      <c r="H144" s="7">
        <f>IFERROR(IF(E144="","",G144/E144),"")</f>
      </c>
    </row>
    <row r="145" ht="18" customHeight="1" spans="1:8" x14ac:dyDescent="0.25">
      <c r="A145" s="5"/>
      <c r="F145">
        <f>IF(AND(D145="",E145=""),"",SUM(D145:E145))</f>
      </c>
      <c r="H145" s="7">
        <f>IFERROR(IF(E145="","",G145/E145),"")</f>
      </c>
    </row>
    <row r="146" ht="18" customHeight="1" spans="1:8" x14ac:dyDescent="0.25">
      <c r="A146" s="5"/>
      <c r="F146">
        <f>IF(AND(D146="",E146=""),"",SUM(D146:E146))</f>
      </c>
      <c r="H146" s="7">
        <f>IFERROR(IF(E146="","",G146/E146),"")</f>
      </c>
    </row>
    <row r="147" ht="18" customHeight="1" spans="1:8" x14ac:dyDescent="0.25">
      <c r="A147" s="5"/>
      <c r="F147">
        <f>IF(AND(D147="",E147=""),"",SUM(D147:E147))</f>
      </c>
      <c r="H147" s="7">
        <f>IFERROR(IF(E147="","",G147/E147),"")</f>
      </c>
    </row>
    <row r="148" ht="18" customHeight="1" spans="1:8" x14ac:dyDescent="0.25">
      <c r="A148" s="5"/>
      <c r="F148">
        <f>IF(AND(D148="",E148=""),"",SUM(D148:E148))</f>
      </c>
      <c r="H148" s="7">
        <f>IFERROR(IF(E148="","",G148/E148),"")</f>
      </c>
    </row>
    <row r="149" ht="18" customHeight="1" spans="1:8" x14ac:dyDescent="0.25">
      <c r="A149" s="5"/>
      <c r="F149">
        <f>IF(AND(D149="",E149=""),"",SUM(D149:E149))</f>
      </c>
      <c r="H149" s="7">
        <f>IFERROR(IF(E149="","",G149/E149),"")</f>
      </c>
    </row>
    <row r="150" ht="18" customHeight="1" spans="1:8" x14ac:dyDescent="0.25">
      <c r="A150" s="5"/>
      <c r="F150">
        <f>IF(AND(D150="",E150=""),"",SUM(D150:E150))</f>
      </c>
      <c r="H150" s="7">
        <f>IFERROR(IF(E150="","",G150/E150),"")</f>
      </c>
    </row>
    <row r="151" ht="18" customHeight="1" spans="1:8" x14ac:dyDescent="0.25">
      <c r="A151" s="5"/>
      <c r="F151">
        <f>IF(AND(D151="",E151=""),"",SUM(D151:E151))</f>
      </c>
      <c r="H151" s="7">
        <f>IFERROR(IF(E151="","",G151/E151),"")</f>
      </c>
    </row>
    <row r="152" ht="18" customHeight="1" spans="1:8" x14ac:dyDescent="0.25">
      <c r="A152" s="5"/>
      <c r="F152">
        <f>IF(AND(D152="",E152=""),"",SUM(D152:E152))</f>
      </c>
      <c r="H152" s="7">
        <f>IFERROR(IF(E152="","",G152/E152),"")</f>
      </c>
    </row>
    <row r="153" ht="18" customHeight="1" spans="1:8" x14ac:dyDescent="0.25">
      <c r="A153" s="5"/>
      <c r="F153">
        <f>IF(AND(D153="",E153=""),"",SUM(D153:E153))</f>
      </c>
      <c r="H153" s="7">
        <f>IFERROR(IF(E153="","",G153/E153),"")</f>
      </c>
    </row>
    <row r="154" ht="18" customHeight="1" spans="1:8" x14ac:dyDescent="0.25">
      <c r="A154" s="5"/>
      <c r="F154">
        <f>IF(AND(D154="",E154=""),"",SUM(D154:E154))</f>
      </c>
      <c r="H154" s="7">
        <f>IFERROR(IF(E154="","",G154/E154),"")</f>
      </c>
    </row>
    <row r="155" ht="18" customHeight="1" spans="1:8" x14ac:dyDescent="0.25">
      <c r="A155" s="5"/>
      <c r="F155">
        <f>IF(AND(D155="",E155=""),"",SUM(D155:E155))</f>
      </c>
      <c r="H155" s="7">
        <f>IFERROR(IF(E155="","",G155/E155),"")</f>
      </c>
    </row>
    <row r="156" ht="18" customHeight="1" spans="1:8" x14ac:dyDescent="0.25">
      <c r="A156" s="5"/>
      <c r="F156">
        <f>IF(AND(D156="",E156=""),"",SUM(D156:E156))</f>
      </c>
      <c r="H156" s="7">
        <f>IFERROR(IF(E156="","",G156/E156),"")</f>
      </c>
    </row>
    <row r="157" ht="18" customHeight="1" spans="1:8" x14ac:dyDescent="0.25">
      <c r="A157" s="5"/>
      <c r="F157">
        <f>IF(AND(D157="",E157=""),"",SUM(D157:E157))</f>
      </c>
      <c r="H157" s="7">
        <f>IFERROR(IF(E157="","",G157/E157),"")</f>
      </c>
    </row>
    <row r="158" ht="18" customHeight="1" spans="1:8" x14ac:dyDescent="0.25">
      <c r="A158" s="5"/>
      <c r="F158">
        <f>IF(AND(D158="",E158=""),"",SUM(D158:E158))</f>
      </c>
      <c r="H158" s="7">
        <f>IFERROR(IF(E158="","",G158/E158),"")</f>
      </c>
    </row>
    <row r="159" ht="18" customHeight="1" spans="1:8" x14ac:dyDescent="0.25">
      <c r="A159" s="5"/>
      <c r="F159">
        <f>IF(AND(D159="",E159=""),"",SUM(D159:E159))</f>
      </c>
      <c r="H159" s="7">
        <f>IFERROR(IF(E159="","",G159/E159),"")</f>
      </c>
    </row>
    <row r="160" ht="18" customHeight="1" spans="1:8" x14ac:dyDescent="0.25">
      <c r="A160" s="5"/>
      <c r="F160">
        <f>IF(AND(D160="",E160=""),"",SUM(D160:E160))</f>
      </c>
      <c r="H160" s="7">
        <f>IFERROR(IF(E160="","",G160/E160),"")</f>
      </c>
    </row>
    <row r="161" ht="18" customHeight="1" spans="1:8" x14ac:dyDescent="0.25">
      <c r="A161" s="5"/>
      <c r="F161">
        <f>IF(AND(D161="",E161=""),"",SUM(D161:E161))</f>
      </c>
      <c r="H161" s="7">
        <f>IFERROR(IF(E161="","",G161/E161),"")</f>
      </c>
    </row>
    <row r="162" ht="18" customHeight="1" spans="1:8" x14ac:dyDescent="0.25">
      <c r="A162" s="5"/>
      <c r="F162">
        <f>IF(AND(D162="",E162=""),"",SUM(D162:E162))</f>
      </c>
      <c r="H162" s="7">
        <f>IFERROR(IF(E162="","",G162/E162),"")</f>
      </c>
    </row>
    <row r="163" ht="18" customHeight="1" spans="1:8" x14ac:dyDescent="0.25">
      <c r="A163" s="5"/>
      <c r="F163">
        <f>IF(AND(D163="",E163=""),"",SUM(D163:E163))</f>
      </c>
      <c r="H163" s="7">
        <f>IFERROR(IF(E163="","",G163/E163),"")</f>
      </c>
    </row>
    <row r="164" ht="18" customHeight="1" spans="1:8" x14ac:dyDescent="0.25">
      <c r="A164" s="5"/>
      <c r="F164">
        <f>IF(AND(D164="",E164=""),"",SUM(D164:E164))</f>
      </c>
      <c r="H164" s="7">
        <f>IFERROR(IF(E164="","",G164/E164),"")</f>
      </c>
    </row>
    <row r="165" ht="18" customHeight="1" spans="1:8" x14ac:dyDescent="0.25">
      <c r="A165" s="5"/>
      <c r="F165">
        <f>IF(AND(D165="",E165=""),"",SUM(D165:E165))</f>
      </c>
      <c r="H165" s="7">
        <f>IFERROR(IF(E165="","",G165/E165),"")</f>
      </c>
    </row>
    <row r="166" ht="18" customHeight="1" spans="1:8" x14ac:dyDescent="0.25">
      <c r="A166" s="5"/>
      <c r="F166">
        <f>IF(AND(D166="",E166=""),"",SUM(D166:E166))</f>
      </c>
      <c r="H166" s="7">
        <f>IFERROR(IF(E166="","",G166/E166),"")</f>
      </c>
    </row>
    <row r="167" ht="18" customHeight="1" spans="1:8" x14ac:dyDescent="0.25">
      <c r="A167" s="5"/>
      <c r="F167">
        <f>IF(AND(D167="",E167=""),"",SUM(D167:E167))</f>
      </c>
      <c r="H167" s="7">
        <f>IFERROR(IF(E167="","",G167/E167),"")</f>
      </c>
    </row>
    <row r="168" ht="18" customHeight="1" spans="1:8" x14ac:dyDescent="0.25">
      <c r="A168" s="5"/>
      <c r="F168">
        <f>IF(AND(D168="",E168=""),"",SUM(D168:E168))</f>
      </c>
      <c r="H168" s="7">
        <f>IFERROR(IF(E168="","",G168/E168),"")</f>
      </c>
    </row>
    <row r="169" ht="18" customHeight="1" spans="1:8" x14ac:dyDescent="0.25">
      <c r="A169" s="5"/>
      <c r="F169">
        <f>IF(AND(D169="",E169=""),"",SUM(D169:E169))</f>
      </c>
      <c r="H169" s="7">
        <f>IFERROR(IF(E169="","",G169/E169),"")</f>
      </c>
    </row>
    <row r="170" ht="18" customHeight="1" spans="1:8" x14ac:dyDescent="0.25">
      <c r="A170" s="5"/>
      <c r="F170">
        <f>IF(AND(D170="",E170=""),"",SUM(D170:E170))</f>
      </c>
      <c r="H170" s="7">
        <f>IFERROR(IF(E170="","",G170/E170),"")</f>
      </c>
    </row>
    <row r="171" ht="18" customHeight="1" spans="1:8" x14ac:dyDescent="0.25">
      <c r="A171" s="5"/>
      <c r="F171">
        <f>IF(AND(D171="",E171=""),"",SUM(D171:E171))</f>
      </c>
      <c r="H171" s="7">
        <f>IFERROR(IF(E171="","",G171/E171),"")</f>
      </c>
    </row>
    <row r="172" ht="18" customHeight="1" spans="1:8" x14ac:dyDescent="0.25">
      <c r="A172" s="5"/>
      <c r="F172">
        <f>IF(AND(D172="",E172=""),"",SUM(D172:E172))</f>
      </c>
      <c r="H172" s="7">
        <f>IFERROR(IF(E172="","",G172/E172),"")</f>
      </c>
    </row>
    <row r="173" ht="18" customHeight="1" spans="1:8" x14ac:dyDescent="0.25">
      <c r="A173" s="5"/>
      <c r="F173">
        <f>IF(AND(D173="",E173=""),"",SUM(D173:E173))</f>
      </c>
      <c r="H173" s="7">
        <f>IFERROR(IF(E173="","",G173/E173),"")</f>
      </c>
    </row>
    <row r="174" ht="18" customHeight="1" spans="1:8" x14ac:dyDescent="0.25">
      <c r="A174" s="5"/>
      <c r="F174">
        <f>IF(AND(D174="",E174=""),"",SUM(D174:E174))</f>
      </c>
      <c r="H174" s="7">
        <f>IFERROR(IF(E174="","",G174/E174),"")</f>
      </c>
    </row>
    <row r="175" ht="18" customHeight="1" spans="1:8" x14ac:dyDescent="0.25">
      <c r="A175" s="5"/>
      <c r="F175">
        <f>IF(AND(D175="",E175=""),"",SUM(D175:E175))</f>
      </c>
      <c r="H175" s="7">
        <f>IFERROR(IF(E175="","",G175/E175),"")</f>
      </c>
    </row>
    <row r="176" ht="18" customHeight="1" spans="1:8" x14ac:dyDescent="0.25">
      <c r="A176" s="5"/>
      <c r="F176">
        <f>IF(AND(D176="",E176=""),"",SUM(D176:E176))</f>
      </c>
      <c r="H176" s="7">
        <f>IFERROR(IF(E176="","",G176/E176),"")</f>
      </c>
    </row>
    <row r="177" ht="18" customHeight="1" spans="1:8" x14ac:dyDescent="0.25">
      <c r="A177" s="5"/>
      <c r="F177">
        <f>IF(AND(D177="",E177=""),"",SUM(D177:E177))</f>
      </c>
      <c r="H177" s="7">
        <f>IFERROR(IF(E177="","",G177/E177),"")</f>
      </c>
    </row>
    <row r="178" ht="18" customHeight="1" spans="1:8" x14ac:dyDescent="0.25">
      <c r="A178" s="5"/>
      <c r="F178">
        <f>IF(AND(D178="",E178=""),"",SUM(D178:E178))</f>
      </c>
      <c r="H178" s="7">
        <f>IFERROR(IF(E178="","",G178/E178),"")</f>
      </c>
    </row>
    <row r="179" ht="18" customHeight="1" spans="1:8" x14ac:dyDescent="0.25">
      <c r="A179" s="5"/>
      <c r="F179">
        <f>IF(AND(D179="",E179=""),"",SUM(D179:E179))</f>
      </c>
      <c r="H179" s="7">
        <f>IFERROR(IF(E179="","",G179/E179),"")</f>
      </c>
    </row>
    <row r="180" ht="18" customHeight="1" spans="1:8" x14ac:dyDescent="0.25">
      <c r="A180" s="5"/>
      <c r="F180">
        <f>IF(AND(D180="",E180=""),"",SUM(D180:E180))</f>
      </c>
      <c r="H180" s="7">
        <f>IFERROR(IF(E180="","",G180/E180),"")</f>
      </c>
    </row>
    <row r="181" ht="18" customHeight="1" spans="1:8" x14ac:dyDescent="0.25">
      <c r="A181" s="5"/>
      <c r="F181">
        <f>IF(AND(D181="",E181=""),"",SUM(D181:E181))</f>
      </c>
      <c r="H181" s="7">
        <f>IFERROR(IF(E181="","",G181/E181),"")</f>
      </c>
    </row>
    <row r="182" ht="18" customHeight="1" spans="1:8" x14ac:dyDescent="0.25">
      <c r="A182" s="5"/>
      <c r="F182">
        <f>IF(AND(D182="",E182=""),"",SUM(D182:E182))</f>
      </c>
      <c r="H182" s="7">
        <f>IFERROR(IF(E182="","",G182/E182),"")</f>
      </c>
    </row>
    <row r="183" ht="18" customHeight="1" spans="1:8" x14ac:dyDescent="0.25">
      <c r="A183" s="5"/>
      <c r="F183">
        <f>IF(AND(D183="",E183=""),"",SUM(D183:E183))</f>
      </c>
      <c r="H183" s="7">
        <f>IFERROR(IF(E183="","",G183/E183),"")</f>
      </c>
    </row>
    <row r="184" ht="18" customHeight="1" spans="1:8" x14ac:dyDescent="0.25">
      <c r="A184" s="5"/>
      <c r="F184">
        <f>IF(AND(D184="",E184=""),"",SUM(D184:E184))</f>
      </c>
      <c r="H184" s="7">
        <f>IFERROR(IF(E184="","",G184/E184),"")</f>
      </c>
    </row>
    <row r="185" ht="18" customHeight="1" spans="1:8" x14ac:dyDescent="0.25">
      <c r="A185" s="5"/>
      <c r="F185">
        <f>IF(AND(D185="",E185=""),"",SUM(D185:E185))</f>
      </c>
      <c r="H185" s="7">
        <f>IFERROR(IF(E185="","",G185/E185),"")</f>
      </c>
    </row>
    <row r="186" ht="18" customHeight="1" spans="1:8" x14ac:dyDescent="0.25">
      <c r="A186" s="5"/>
      <c r="F186">
        <f>IF(AND(D186="",E186=""),"",SUM(D186:E186))</f>
      </c>
      <c r="H186" s="7">
        <f>IFERROR(IF(E186="","",G186/E186),"")</f>
      </c>
    </row>
    <row r="187" ht="18" customHeight="1" spans="1:8" x14ac:dyDescent="0.25">
      <c r="A187" s="5"/>
      <c r="F187">
        <f>IF(AND(D187="",E187=""),"",SUM(D187:E187))</f>
      </c>
      <c r="H187" s="7">
        <f>IFERROR(IF(E187="","",G187/E187),"")</f>
      </c>
    </row>
    <row r="188" ht="18" customHeight="1" spans="1:8" x14ac:dyDescent="0.25">
      <c r="A188" s="5"/>
      <c r="F188">
        <f>IF(AND(D188="",E188=""),"",SUM(D188:E188))</f>
      </c>
      <c r="H188" s="7">
        <f>IFERROR(IF(E188="","",G188/E188),"")</f>
      </c>
    </row>
    <row r="189" ht="18" customHeight="1" spans="1:8" x14ac:dyDescent="0.25">
      <c r="A189" s="5"/>
      <c r="F189">
        <f>IF(AND(D189="",E189=""),"",SUM(D189:E189))</f>
      </c>
      <c r="H189" s="7">
        <f>IFERROR(IF(E189="","",G189/E189),"")</f>
      </c>
    </row>
    <row r="190" ht="18" customHeight="1" spans="1:8" x14ac:dyDescent="0.25">
      <c r="A190" s="5"/>
      <c r="F190">
        <f>IF(AND(D190="",E190=""),"",SUM(D190:E190))</f>
      </c>
      <c r="H190" s="7">
        <f>IFERROR(IF(E190="","",G190/E190),"")</f>
      </c>
    </row>
    <row r="191" ht="18" customHeight="1" spans="1:8" x14ac:dyDescent="0.25">
      <c r="A191" s="5"/>
      <c r="F191">
        <f>IF(AND(D191="",E191=""),"",SUM(D191:E191))</f>
      </c>
      <c r="H191" s="7">
        <f>IFERROR(IF(E191="","",G191/E191),"")</f>
      </c>
    </row>
    <row r="192" ht="18" customHeight="1" spans="1:8" x14ac:dyDescent="0.25">
      <c r="A192" s="5"/>
      <c r="F192">
        <f>IF(AND(D192="",E192=""),"",SUM(D192:E192))</f>
      </c>
      <c r="H192" s="7">
        <f>IFERROR(IF(E192="","",G192/E192),"")</f>
      </c>
    </row>
    <row r="193" ht="18" customHeight="1" spans="1:8" x14ac:dyDescent="0.25">
      <c r="A193" s="5"/>
      <c r="F193">
        <f>IF(AND(D193="",E193=""),"",SUM(D193:E193))</f>
      </c>
      <c r="H193" s="7">
        <f>IFERROR(IF(E193="","",G193/E193),"")</f>
      </c>
    </row>
    <row r="194" ht="18" customHeight="1" spans="1:8" x14ac:dyDescent="0.25">
      <c r="A194" s="5"/>
      <c r="F194">
        <f>IF(AND(D194="",E194=""),"",SUM(D194:E194))</f>
      </c>
      <c r="H194" s="7">
        <f>IFERROR(IF(E194="","",G194/E194),"")</f>
      </c>
    </row>
    <row r="195" ht="18" customHeight="1" spans="1:8" x14ac:dyDescent="0.25">
      <c r="A195" s="5"/>
      <c r="F195">
        <f>IF(AND(D195="",E195=""),"",SUM(D195:E195))</f>
      </c>
      <c r="H195" s="7">
        <f>IFERROR(IF(E195="","",G195/E195),"")</f>
      </c>
    </row>
    <row r="196" ht="18" customHeight="1" spans="1:8" x14ac:dyDescent="0.25">
      <c r="A196" s="5"/>
      <c r="F196">
        <f>IF(AND(D196="",E196=""),"",SUM(D196:E196))</f>
      </c>
      <c r="H196" s="7">
        <f>IFERROR(IF(E196="","",G196/E196),"")</f>
      </c>
    </row>
    <row r="197" ht="18" customHeight="1" spans="1:8" x14ac:dyDescent="0.25">
      <c r="A197" s="5"/>
      <c r="F197">
        <f>IF(AND(D197="",E197=""),"",SUM(D197:E197))</f>
      </c>
      <c r="H197" s="7">
        <f>IFERROR(IF(E197="","",G197/E197),"")</f>
      </c>
    </row>
    <row r="198" ht="18" customHeight="1" spans="1:8" x14ac:dyDescent="0.25">
      <c r="A198" s="5"/>
      <c r="F198">
        <f>IF(AND(D198="",E198=""),"",SUM(D198:E198))</f>
      </c>
      <c r="H198" s="7">
        <f>IFERROR(IF(E198="","",G198/E198),"")</f>
      </c>
    </row>
    <row r="199" ht="18" customHeight="1" spans="1:8" x14ac:dyDescent="0.25">
      <c r="A199" s="5"/>
      <c r="F199">
        <f>IF(AND(D199="",E199=""),"",SUM(D199:E199))</f>
      </c>
      <c r="H199" s="7">
        <f>IFERROR(IF(E199="","",G199/E199),"")</f>
      </c>
    </row>
    <row r="200" ht="18" customHeight="1" spans="1:8" x14ac:dyDescent="0.25">
      <c r="A200" s="5"/>
      <c r="F200">
        <f>IF(AND(D200="",E200=""),"",SUM(D200:E200))</f>
      </c>
      <c r="H200" s="7">
        <f>IFERROR(IF(E200="","",G200/E200),"")</f>
      </c>
    </row>
    <row r="201" ht="18" customHeight="1" spans="1:8" x14ac:dyDescent="0.25">
      <c r="A201" s="5"/>
      <c r="F201">
        <f>IF(AND(D201="",E201=""),"",SUM(D201:E201))</f>
      </c>
      <c r="H201" s="7">
        <f>IFERROR(IF(E201="","",G201/E201),"")</f>
      </c>
    </row>
    <row r="202" ht="18" customHeight="1" spans="1:8" x14ac:dyDescent="0.25">
      <c r="A202" s="5"/>
      <c r="F202">
        <f>IF(AND(D202="",E202=""),"",SUM(D202:E202))</f>
      </c>
      <c r="H202" s="7">
        <f>IFERROR(IF(E202="","",G202/E202),"")</f>
      </c>
    </row>
    <row r="203" ht="18" customHeight="1" spans="1:8" x14ac:dyDescent="0.25">
      <c r="A203" s="5"/>
      <c r="F203">
        <f>IF(AND(D203="",E203=""),"",SUM(D203:E203))</f>
      </c>
      <c r="H203" s="7">
        <f>IFERROR(IF(E203="","",G203/E203),"")</f>
      </c>
    </row>
    <row r="204" ht="18" customHeight="1" spans="1:8" x14ac:dyDescent="0.25">
      <c r="A204" s="5"/>
      <c r="F204">
        <f>IF(AND(D204="",E204=""),"",SUM(D204:E204))</f>
      </c>
      <c r="H204" s="7">
        <f>IFERROR(IF(E204="","",G204/E204),"")</f>
      </c>
    </row>
    <row r="205" ht="18" customHeight="1" spans="1:8" x14ac:dyDescent="0.25">
      <c r="A205" s="5"/>
      <c r="F205">
        <f>IF(AND(D205="",E205=""),"",SUM(D205:E205))</f>
      </c>
      <c r="H205" s="7">
        <f>IFERROR(IF(E205="","",G205/E205),"")</f>
      </c>
    </row>
    <row r="206" ht="18" customHeight="1" spans="1:8" x14ac:dyDescent="0.25">
      <c r="A206" s="5"/>
      <c r="F206">
        <f>IF(AND(D206="",E206=""),"",SUM(D206:E206))</f>
      </c>
      <c r="H206" s="7">
        <f>IFERROR(IF(E206="","",G206/E206),"")</f>
      </c>
    </row>
    <row r="207" ht="18" customHeight="1" spans="1:8" x14ac:dyDescent="0.25">
      <c r="A207" s="5"/>
      <c r="F207">
        <f>IF(AND(D207="",E207=""),"",SUM(D207:E207))</f>
      </c>
      <c r="H207" s="7">
        <f>IFERROR(IF(E207="","",G207/E207),"")</f>
      </c>
    </row>
    <row r="208" ht="18" customHeight="1" spans="1:8" x14ac:dyDescent="0.25">
      <c r="A208" s="5"/>
      <c r="F208">
        <f>IF(AND(D208="",E208=""),"",SUM(D208:E208))</f>
      </c>
      <c r="H208" s="7">
        <f>IFERROR(IF(E208="","",G208/E208),"")</f>
      </c>
    </row>
    <row r="209" ht="18" customHeight="1" spans="1:8" x14ac:dyDescent="0.25">
      <c r="A209" s="5"/>
      <c r="F209">
        <f>IF(AND(D209="",E209=""),"",SUM(D209:E209))</f>
      </c>
      <c r="H209" s="7">
        <f>IFERROR(IF(E209="","",G209/E209),"")</f>
      </c>
    </row>
    <row r="210" ht="18" customHeight="1" spans="1:8" x14ac:dyDescent="0.25">
      <c r="A210" s="5"/>
      <c r="F210">
        <f>IF(AND(D210="",E210=""),"",SUM(D210:E210))</f>
      </c>
      <c r="H210" s="7">
        <f>IFERROR(IF(E210="","",G210/E210),"")</f>
      </c>
    </row>
    <row r="211" ht="18" customHeight="1" spans="1:8" x14ac:dyDescent="0.25">
      <c r="A211" s="5"/>
      <c r="F211">
        <f>IF(AND(D211="",E211=""),"",SUM(D211:E211))</f>
      </c>
      <c r="H211" s="7">
        <f>IFERROR(IF(E211="","",G211/E211),"")</f>
      </c>
    </row>
    <row r="212" ht="18" customHeight="1" spans="1:8" x14ac:dyDescent="0.25">
      <c r="A212" s="5"/>
      <c r="F212">
        <f>IF(AND(D212="",E212=""),"",SUM(D212:E212))</f>
      </c>
      <c r="H212" s="7">
        <f>IFERROR(IF(E212="","",G212/E212),"")</f>
      </c>
    </row>
    <row r="213" ht="18" customHeight="1" spans="1:8" x14ac:dyDescent="0.25">
      <c r="A213" s="5"/>
      <c r="F213">
        <f>IF(AND(D213="",E213=""),"",SUM(D213:E213))</f>
      </c>
      <c r="H213" s="7">
        <f>IFERROR(IF(E213="","",G213/E213),"")</f>
      </c>
    </row>
    <row r="214" ht="18" customHeight="1" spans="1:8" x14ac:dyDescent="0.25">
      <c r="A214" s="5"/>
      <c r="F214">
        <f>IF(AND(D214="",E214=""),"",SUM(D214:E214))</f>
      </c>
      <c r="H214" s="7">
        <f>IFERROR(IF(E214="","",G214/E214),"")</f>
      </c>
    </row>
    <row r="215" ht="18" customHeight="1" spans="1:8" x14ac:dyDescent="0.25">
      <c r="A215" s="5"/>
      <c r="F215">
        <f>IF(AND(D215="",E215=""),"",SUM(D215:E215))</f>
      </c>
      <c r="H215" s="7">
        <f>IFERROR(IF(E215="","",G215/E215),"")</f>
      </c>
    </row>
    <row r="216" ht="18" customHeight="1" spans="1:8" x14ac:dyDescent="0.25">
      <c r="A216" s="5"/>
      <c r="F216">
        <f>IF(AND(D216="",E216=""),"",SUM(D216:E216))</f>
      </c>
      <c r="H216" s="7">
        <f>IFERROR(IF(E216="","",G216/E216),"")</f>
      </c>
    </row>
    <row r="217" ht="18" customHeight="1" spans="1:8" x14ac:dyDescent="0.25">
      <c r="A217" s="5"/>
      <c r="F217">
        <f>IF(AND(D217="",E217=""),"",SUM(D217:E217))</f>
      </c>
      <c r="H217" s="7">
        <f>IFERROR(IF(E217="","",G217/E217),"")</f>
      </c>
    </row>
    <row r="218" ht="18" customHeight="1" spans="1:8" x14ac:dyDescent="0.25">
      <c r="A218" s="5"/>
      <c r="F218">
        <f>IF(AND(D218="",E218=""),"",SUM(D218:E218))</f>
      </c>
      <c r="H218" s="7">
        <f>IFERROR(IF(E218="","",G218/E218),"")</f>
      </c>
    </row>
    <row r="219" ht="18" customHeight="1" spans="1:8" x14ac:dyDescent="0.25">
      <c r="A219" s="5"/>
      <c r="F219">
        <f>IF(AND(D219="",E219=""),"",SUM(D219:E219))</f>
      </c>
      <c r="H219" s="7">
        <f>IFERROR(IF(E219="","",G219/E219),"")</f>
      </c>
    </row>
    <row r="220" ht="18" customHeight="1" spans="1:8" x14ac:dyDescent="0.25">
      <c r="A220" s="5"/>
      <c r="F220">
        <f>IF(AND(D220="",E220=""),"",SUM(D220:E220))</f>
      </c>
      <c r="H220" s="7">
        <f>IFERROR(IF(E220="","",G220/E220),"")</f>
      </c>
    </row>
    <row r="221" ht="18" customHeight="1" spans="1:8" x14ac:dyDescent="0.25">
      <c r="A221" s="5"/>
      <c r="F221">
        <f>IF(AND(D221="",E221=""),"",SUM(D221:E221))</f>
      </c>
      <c r="H221" s="7">
        <f>IFERROR(IF(E221="","",G221/E221),"")</f>
      </c>
    </row>
    <row r="222" ht="18" customHeight="1" spans="1:8" x14ac:dyDescent="0.25">
      <c r="A222" s="5"/>
      <c r="F222">
        <f>IF(AND(D222="",E222=""),"",SUM(D222:E222))</f>
      </c>
      <c r="H222" s="7">
        <f>IFERROR(IF(E222="","",G222/E222),"")</f>
      </c>
    </row>
    <row r="223" ht="18" customHeight="1" spans="1:8" x14ac:dyDescent="0.25">
      <c r="A223" s="5"/>
      <c r="F223">
        <f>IF(AND(D223="",E223=""),"",SUM(D223:E223))</f>
      </c>
      <c r="H223" s="7">
        <f>IFERROR(IF(E223="","",G223/E223),"")</f>
      </c>
    </row>
    <row r="224" ht="18" customHeight="1" spans="1:8" x14ac:dyDescent="0.25">
      <c r="A224" s="5"/>
      <c r="F224">
        <f>IF(AND(D224="",E224=""),"",SUM(D224:E224))</f>
      </c>
      <c r="H224" s="7">
        <f>IFERROR(IF(E224="","",G224/E224),"")</f>
      </c>
    </row>
    <row r="225" ht="18" customHeight="1" spans="1:8" x14ac:dyDescent="0.25">
      <c r="A225" s="5"/>
      <c r="F225">
        <f>IF(AND(D225="",E225=""),"",SUM(D225:E225))</f>
      </c>
      <c r="H225" s="7">
        <f>IFERROR(IF(E225="","",G225/E225),"")</f>
      </c>
    </row>
    <row r="226" ht="18" customHeight="1" spans="1:8" x14ac:dyDescent="0.25">
      <c r="A226" s="5"/>
      <c r="F226">
        <f>IF(AND(D226="",E226=""),"",SUM(D226:E226))</f>
      </c>
      <c r="H226" s="7">
        <f>IFERROR(IF(E226="","",G226/E226),"")</f>
      </c>
    </row>
    <row r="227" ht="18" customHeight="1" spans="1:8" x14ac:dyDescent="0.25">
      <c r="A227" s="5"/>
      <c r="F227">
        <f>IF(AND(D227="",E227=""),"",SUM(D227:E227))</f>
      </c>
      <c r="H227" s="7">
        <f>IFERROR(IF(E227="","",G227/E227),"")</f>
      </c>
    </row>
    <row r="228" ht="18" customHeight="1" spans="1:8" x14ac:dyDescent="0.25">
      <c r="A228" s="5"/>
      <c r="F228">
        <f>IF(AND(D228="",E228=""),"",SUM(D228:E228))</f>
      </c>
      <c r="H228" s="7">
        <f>IFERROR(IF(E228="","",G228/E228),"")</f>
      </c>
    </row>
    <row r="229" ht="18" customHeight="1" spans="1:8" x14ac:dyDescent="0.25">
      <c r="A229" s="5"/>
      <c r="F229">
        <f>IF(AND(D229="",E229=""),"",SUM(D229:E229))</f>
      </c>
      <c r="H229" s="7">
        <f>IFERROR(IF(E229="","",G229/E229),"")</f>
      </c>
    </row>
    <row r="230" ht="18" customHeight="1" spans="1:8" x14ac:dyDescent="0.25">
      <c r="A230" s="5"/>
      <c r="F230">
        <f>IF(AND(D230="",E230=""),"",SUM(D230:E230))</f>
      </c>
      <c r="H230" s="7">
        <f>IFERROR(IF(E230="","",G230/E230),"")</f>
      </c>
    </row>
    <row r="231" ht="18" customHeight="1" spans="1:8" x14ac:dyDescent="0.25">
      <c r="A231" s="5"/>
      <c r="F231">
        <f>IF(AND(D231="",E231=""),"",SUM(D231:E231))</f>
      </c>
      <c r="H231" s="7">
        <f>IFERROR(IF(E231="","",G231/E231),"")</f>
      </c>
    </row>
    <row r="232" ht="18" customHeight="1" spans="1:8" x14ac:dyDescent="0.25">
      <c r="A232" s="5"/>
      <c r="F232">
        <f>IF(AND(D232="",E232=""),"",SUM(D232:E232))</f>
      </c>
      <c r="H232" s="7">
        <f>IFERROR(IF(E232="","",G232/E232),"")</f>
      </c>
    </row>
    <row r="233" ht="18" customHeight="1" spans="1:8" x14ac:dyDescent="0.25">
      <c r="A233" s="5"/>
      <c r="F233">
        <f>IF(AND(D233="",E233=""),"",SUM(D233:E233))</f>
      </c>
      <c r="H233" s="7">
        <f>IFERROR(IF(E233="","",G233/E233),"")</f>
      </c>
    </row>
    <row r="234" ht="18" customHeight="1" spans="1:8" x14ac:dyDescent="0.25">
      <c r="A234" s="5"/>
      <c r="F234">
        <f>IF(AND(D234="",E234=""),"",SUM(D234:E234))</f>
      </c>
      <c r="H234" s="7">
        <f>IFERROR(IF(E234="","",G234/E234),"")</f>
      </c>
    </row>
    <row r="235" ht="18" customHeight="1" spans="1:8" x14ac:dyDescent="0.25">
      <c r="A235" s="5"/>
      <c r="F235">
        <f>IF(AND(D235="",E235=""),"",SUM(D235:E235))</f>
      </c>
      <c r="H235" s="7">
        <f>IFERROR(IF(E235="","",G235/E235),"")</f>
      </c>
    </row>
    <row r="236" ht="18" customHeight="1" spans="1:8" x14ac:dyDescent="0.25">
      <c r="A236" s="5"/>
      <c r="F236">
        <f>IF(AND(D236="",E236=""),"",SUM(D236:E236))</f>
      </c>
      <c r="H236" s="7">
        <f>IFERROR(IF(E236="","",G236/E236),"")</f>
      </c>
    </row>
    <row r="237" ht="18" customHeight="1" spans="1:8" x14ac:dyDescent="0.25">
      <c r="A237" s="5"/>
      <c r="F237">
        <f>IF(AND(D237="",E237=""),"",SUM(D237:E237))</f>
      </c>
      <c r="H237" s="7">
        <f>IFERROR(IF(E237="","",G237/E237),"")</f>
      </c>
    </row>
    <row r="238" ht="18" customHeight="1" spans="1:8" x14ac:dyDescent="0.25">
      <c r="A238" s="5"/>
      <c r="F238">
        <f>IF(AND(D238="",E238=""),"",SUM(D238:E238))</f>
      </c>
      <c r="H238" s="7">
        <f>IFERROR(IF(E238="","",G238/E238),"")</f>
      </c>
    </row>
    <row r="239" ht="18" customHeight="1" spans="1:8" x14ac:dyDescent="0.25">
      <c r="A239" s="5"/>
      <c r="F239">
        <f>IF(AND(D239="",E239=""),"",SUM(D239:E239))</f>
      </c>
      <c r="H239" s="7">
        <f>IFERROR(IF(E239="","",G239/E239),"")</f>
      </c>
    </row>
    <row r="240" ht="18" customHeight="1" spans="1:8" x14ac:dyDescent="0.25">
      <c r="A240" s="5"/>
      <c r="F240">
        <f>IF(AND(D240="",E240=""),"",SUM(D240:E240))</f>
      </c>
      <c r="H240" s="7">
        <f>IFERROR(IF(E240="","",G240/E240),"")</f>
      </c>
    </row>
    <row r="241" ht="18" customHeight="1" spans="1:8" x14ac:dyDescent="0.25">
      <c r="A241" s="5"/>
      <c r="F241">
        <f>IF(AND(D241="",E241=""),"",SUM(D241:E241))</f>
      </c>
      <c r="H241" s="7">
        <f>IFERROR(IF(E241="","",G241/E241),"")</f>
      </c>
    </row>
    <row r="242" ht="18" customHeight="1" spans="1:8" x14ac:dyDescent="0.25">
      <c r="A242" s="5"/>
      <c r="F242">
        <f>IF(AND(D242="",E242=""),"",SUM(D242:E242))</f>
      </c>
      <c r="H242" s="7">
        <f>IFERROR(IF(E242="","",G242/E242),"")</f>
      </c>
    </row>
    <row r="243" ht="18" customHeight="1" spans="1:8" x14ac:dyDescent="0.25">
      <c r="A243" s="5"/>
      <c r="F243">
        <f>IF(AND(D243="",E243=""),"",SUM(D243:E243))</f>
      </c>
      <c r="H243" s="7">
        <f>IFERROR(IF(E243="","",G243/E243),"")</f>
      </c>
    </row>
    <row r="244" ht="18" customHeight="1" spans="1:8" x14ac:dyDescent="0.25">
      <c r="A244" s="5"/>
      <c r="F244">
        <f>IF(AND(D244="",E244=""),"",SUM(D244:E244))</f>
      </c>
      <c r="H244" s="7">
        <f>IFERROR(IF(E244="","",G244/E244),"")</f>
      </c>
    </row>
    <row r="245" ht="18" customHeight="1" spans="1:8" x14ac:dyDescent="0.25">
      <c r="A245" s="5"/>
      <c r="F245">
        <f>IF(AND(D245="",E245=""),"",SUM(D245:E245))</f>
      </c>
      <c r="H245" s="7">
        <f>IFERROR(IF(E245="","",G245/E245),"")</f>
      </c>
    </row>
    <row r="246" ht="18" customHeight="1" spans="1:8" x14ac:dyDescent="0.25">
      <c r="A246" s="5"/>
      <c r="F246">
        <f>IF(AND(D246="",E246=""),"",SUM(D246:E246))</f>
      </c>
      <c r="H246" s="7">
        <f>IFERROR(IF(E246="","",G246/E246),"")</f>
      </c>
    </row>
    <row r="247" ht="18" customHeight="1" spans="1:8" x14ac:dyDescent="0.25">
      <c r="A247" s="5"/>
      <c r="F247">
        <f>IF(AND(D247="",E247=""),"",SUM(D247:E247))</f>
      </c>
      <c r="H247" s="7">
        <f>IFERROR(IF(E247="","",G247/E247),"")</f>
      </c>
    </row>
    <row r="248" ht="18" customHeight="1" spans="1:8" x14ac:dyDescent="0.25">
      <c r="A248" s="5"/>
      <c r="F248">
        <f>IF(AND(D248="",E248=""),"",SUM(D248:E248))</f>
      </c>
      <c r="H248" s="7">
        <f>IFERROR(IF(E248="","",G248/E248),"")</f>
      </c>
    </row>
    <row r="249" ht="18" customHeight="1" spans="1:8" x14ac:dyDescent="0.25">
      <c r="A249" s="5"/>
      <c r="F249">
        <f>IF(AND(D249="",E249=""),"",SUM(D249:E249))</f>
      </c>
      <c r="H249" s="7">
        <f>IFERROR(IF(E249="","",G249/E249),"")</f>
      </c>
    </row>
    <row r="250" ht="18" customHeight="1" spans="1:8" x14ac:dyDescent="0.25">
      <c r="A250" s="5"/>
      <c r="F250">
        <f>IF(AND(D250="",E250=""),"",SUM(D250:E250))</f>
      </c>
      <c r="H250" s="7">
        <f>IFERROR(IF(E250="","",G250/E250),"")</f>
      </c>
    </row>
    <row r="251" ht="18" customHeight="1" spans="1:8" x14ac:dyDescent="0.25">
      <c r="A251" s="5"/>
      <c r="F251">
        <f>IF(AND(D251="",E251=""),"",SUM(D251:E251))</f>
      </c>
      <c r="H251" s="7">
        <f>IFERROR(IF(E251="","",G251/E251),"")</f>
      </c>
    </row>
    <row r="252" ht="18" customHeight="1" spans="1:8" x14ac:dyDescent="0.25">
      <c r="A252" s="5"/>
      <c r="F252">
        <f>IF(AND(D252="",E252=""),"",SUM(D252:E252))</f>
      </c>
      <c r="H252" s="7">
        <f>IFERROR(IF(E252="","",G252/E252),"")</f>
      </c>
    </row>
    <row r="253" ht="18" customHeight="1" spans="1:8" x14ac:dyDescent="0.25">
      <c r="A253" s="5"/>
      <c r="F253">
        <f>IF(AND(D253="",E253=""),"",SUM(D253:E253))</f>
      </c>
      <c r="H253" s="7">
        <f>IFERROR(IF(E253="","",G253/E253),"")</f>
      </c>
    </row>
    <row r="254" ht="18" customHeight="1" spans="1:8" x14ac:dyDescent="0.25">
      <c r="A254" s="5"/>
      <c r="F254">
        <f>IF(AND(D254="",E254=""),"",SUM(D254:E254))</f>
      </c>
      <c r="H254" s="7">
        <f>IFERROR(IF(E254="","",G254/E254),"")</f>
      </c>
    </row>
    <row r="255" ht="18" customHeight="1" spans="1:8" x14ac:dyDescent="0.25">
      <c r="A255" s="5"/>
      <c r="F255">
        <f>IF(AND(D255="",E255=""),"",SUM(D255:E255))</f>
      </c>
      <c r="H255" s="7">
        <f>IFERROR(IF(E255="","",G255/E255),"")</f>
      </c>
    </row>
    <row r="256" ht="18" customHeight="1" spans="1:8" x14ac:dyDescent="0.25">
      <c r="A256" s="5"/>
      <c r="F256">
        <f>IF(AND(D256="",E256=""),"",SUM(D256:E256))</f>
      </c>
      <c r="H256" s="7">
        <f>IFERROR(IF(E256="","",G256/E256),"")</f>
      </c>
    </row>
    <row r="257" ht="18" customHeight="1" spans="1:8" x14ac:dyDescent="0.25">
      <c r="A257" s="5"/>
      <c r="F257">
        <f>IF(AND(D257="",E257=""),"",SUM(D257:E257))</f>
      </c>
      <c r="H257" s="7">
        <f>IFERROR(IF(E257="","",G257/E257),"")</f>
      </c>
    </row>
    <row r="258" ht="18" customHeight="1" spans="1:8" x14ac:dyDescent="0.25">
      <c r="A258" s="5"/>
      <c r="F258">
        <f>IF(AND(D258="",E258=""),"",SUM(D258:E258))</f>
      </c>
      <c r="H258" s="7">
        <f>IFERROR(IF(E258="","",G258/E258),"")</f>
      </c>
    </row>
    <row r="259" ht="18" customHeight="1" spans="1:8" x14ac:dyDescent="0.25">
      <c r="A259" s="5"/>
      <c r="F259">
        <f>IF(AND(D259="",E259=""),"",SUM(D259:E259))</f>
      </c>
      <c r="H259" s="7">
        <f>IFERROR(IF(E259="","",G259/E259),"")</f>
      </c>
    </row>
    <row r="260" ht="18" customHeight="1" spans="1:8" x14ac:dyDescent="0.25">
      <c r="A260" s="5"/>
      <c r="F260">
        <f>IF(AND(D260="",E260=""),"",SUM(D260:E260))</f>
      </c>
      <c r="H260" s="7">
        <f>IFERROR(IF(E260="","",G260/E260),"")</f>
      </c>
    </row>
    <row r="261" ht="18" customHeight="1" spans="1:8" x14ac:dyDescent="0.25">
      <c r="A261" s="5"/>
      <c r="F261">
        <f>IF(AND(D261="",E261=""),"",SUM(D261:E261))</f>
      </c>
      <c r="H261" s="7">
        <f>IFERROR(IF(E261="","",G261/E261),"")</f>
      </c>
    </row>
    <row r="262" ht="18" customHeight="1" spans="1:8" x14ac:dyDescent="0.25">
      <c r="A262" s="5"/>
      <c r="F262">
        <f>IF(AND(D262="",E262=""),"",SUM(D262:E262))</f>
      </c>
      <c r="H262" s="7">
        <f>IFERROR(IF(E262="","",G262/E262),"")</f>
      </c>
    </row>
    <row r="263" ht="18" customHeight="1" spans="1:8" x14ac:dyDescent="0.25">
      <c r="A263" s="5"/>
      <c r="F263">
        <f>IF(AND(D263="",E263=""),"",SUM(D263:E263))</f>
      </c>
      <c r="H263" s="7">
        <f>IFERROR(IF(E263="","",G263/E263),"")</f>
      </c>
    </row>
    <row r="264" ht="18" customHeight="1" spans="1:8" x14ac:dyDescent="0.25">
      <c r="A264" s="5"/>
      <c r="F264">
        <f>IF(AND(D264="",E264=""),"",SUM(D264:E264))</f>
      </c>
      <c r="H264" s="7">
        <f>IFERROR(IF(E264="","",G264/E264),"")</f>
      </c>
    </row>
    <row r="265" ht="18" customHeight="1" spans="1:8" x14ac:dyDescent="0.25">
      <c r="A265" s="5"/>
      <c r="F265">
        <f>IF(AND(D265="",E265=""),"",SUM(D265:E265))</f>
      </c>
      <c r="H265" s="7">
        <f>IFERROR(IF(E265="","",G265/E265),"")</f>
      </c>
    </row>
    <row r="266" ht="18" customHeight="1" spans="1:8" x14ac:dyDescent="0.25">
      <c r="A266" s="5"/>
      <c r="F266">
        <f>IF(AND(D266="",E266=""),"",SUM(D266:E266))</f>
      </c>
      <c r="H266" s="7">
        <f>IFERROR(IF(E266="","",G266/E266),"")</f>
      </c>
    </row>
    <row r="267" ht="18" customHeight="1" spans="1:8" x14ac:dyDescent="0.25">
      <c r="A267" s="5"/>
      <c r="F267">
        <f>IF(AND(D267="",E267=""),"",SUM(D267:E267))</f>
      </c>
      <c r="H267" s="7">
        <f>IFERROR(IF(E267="","",G267/E267),"")</f>
      </c>
    </row>
    <row r="268" ht="18" customHeight="1" spans="1:8" x14ac:dyDescent="0.25">
      <c r="A268" s="5"/>
      <c r="F268">
        <f>IF(AND(D268="",E268=""),"",SUM(D268:E268))</f>
      </c>
      <c r="H268" s="7">
        <f>IFERROR(IF(E268="","",G268/E268),"")</f>
      </c>
    </row>
    <row r="269" ht="18" customHeight="1" spans="1:8" x14ac:dyDescent="0.25">
      <c r="A269" s="5"/>
      <c r="F269">
        <f>IF(AND(D269="",E269=""),"",SUM(D269:E269))</f>
      </c>
      <c r="H269" s="7">
        <f>IFERROR(IF(E269="","",G269/E269),"")</f>
      </c>
    </row>
    <row r="270" ht="18" customHeight="1" spans="1:8" x14ac:dyDescent="0.25">
      <c r="A270" s="5"/>
      <c r="F270">
        <f>IF(AND(D270="",E270=""),"",SUM(D270:E270))</f>
      </c>
      <c r="H270" s="7">
        <f>IFERROR(IF(E270="","",G270/E270),"")</f>
      </c>
    </row>
    <row r="271" ht="18" customHeight="1" spans="1:8" x14ac:dyDescent="0.25">
      <c r="A271" s="5"/>
      <c r="F271">
        <f>IF(AND(D271="",E271=""),"",SUM(D271:E271))</f>
      </c>
      <c r="H271" s="7">
        <f>IFERROR(IF(E271="","",G271/E271),"")</f>
      </c>
    </row>
    <row r="272" ht="18" customHeight="1" spans="1:8" x14ac:dyDescent="0.25">
      <c r="A272" s="5"/>
      <c r="F272">
        <f>IF(AND(D272="",E272=""),"",SUM(D272:E272))</f>
      </c>
      <c r="H272" s="7">
        <f>IFERROR(IF(E272="","",G272/E272),"")</f>
      </c>
    </row>
    <row r="273" ht="18" customHeight="1" spans="1:8" x14ac:dyDescent="0.25">
      <c r="A273" s="5"/>
      <c r="F273">
        <f>IF(AND(D273="",E273=""),"",SUM(D273:E273))</f>
      </c>
      <c r="H273" s="7">
        <f>IFERROR(IF(E273="","",G273/E273),"")</f>
      </c>
    </row>
    <row r="274" ht="18" customHeight="1" spans="1:8" x14ac:dyDescent="0.25">
      <c r="A274" s="5"/>
      <c r="F274">
        <f>IF(AND(D274="",E274=""),"",SUM(D274:E274))</f>
      </c>
      <c r="H274" s="7">
        <f>IFERROR(IF(E274="","",G274/E274),"")</f>
      </c>
    </row>
    <row r="275" ht="18" customHeight="1" spans="1:8" x14ac:dyDescent="0.25">
      <c r="A275" s="5"/>
      <c r="F275">
        <f>IF(AND(D275="",E275=""),"",SUM(D275:E275))</f>
      </c>
      <c r="H275" s="7">
        <f>IFERROR(IF(E275="","",G275/E275),"")</f>
      </c>
    </row>
    <row r="276" ht="18" customHeight="1" spans="1:8" x14ac:dyDescent="0.25">
      <c r="A276" s="5"/>
      <c r="F276">
        <f>IF(AND(D276="",E276=""),"",SUM(D276:E276))</f>
      </c>
      <c r="H276" s="7">
        <f>IFERROR(IF(E276="","",G276/E276),"")</f>
      </c>
    </row>
    <row r="277" ht="18" customHeight="1" spans="1:8" x14ac:dyDescent="0.25">
      <c r="A277" s="5"/>
      <c r="F277">
        <f>IF(AND(D277="",E277=""),"",SUM(D277:E277))</f>
      </c>
      <c r="H277" s="7">
        <f>IFERROR(IF(E277="","",G277/E277),"")</f>
      </c>
    </row>
    <row r="278" ht="18" customHeight="1" spans="1:8" x14ac:dyDescent="0.25">
      <c r="A278" s="5"/>
      <c r="F278">
        <f>IF(AND(D278="",E278=""),"",SUM(D278:E278))</f>
      </c>
      <c r="H278" s="7">
        <f>IFERROR(IF(E278="","",G278/E278),"")</f>
      </c>
    </row>
    <row r="279" ht="18" customHeight="1" spans="1:8" x14ac:dyDescent="0.25">
      <c r="A279" s="5"/>
      <c r="F279">
        <f>IF(AND(D279="",E279=""),"",SUM(D279:E279))</f>
      </c>
      <c r="H279" s="7">
        <f>IFERROR(IF(E279="","",G279/E279),"")</f>
      </c>
    </row>
    <row r="280" ht="18" customHeight="1" spans="1:8" x14ac:dyDescent="0.25">
      <c r="A280" s="5"/>
      <c r="F280">
        <f>IF(AND(D280="",E280=""),"",SUM(D280:E280))</f>
      </c>
      <c r="H280" s="7">
        <f>IFERROR(IF(E280="","",G280/E280),"")</f>
      </c>
    </row>
    <row r="281" ht="18" customHeight="1" spans="1:8" x14ac:dyDescent="0.25">
      <c r="A281" s="5"/>
      <c r="F281">
        <f>IF(AND(D281="",E281=""),"",SUM(D281:E281))</f>
      </c>
      <c r="H281" s="7">
        <f>IFERROR(IF(E281="","",G281/E281),"")</f>
      </c>
    </row>
    <row r="282" ht="18" customHeight="1" spans="1:8" x14ac:dyDescent="0.25">
      <c r="A282" s="5"/>
      <c r="F282">
        <f>IF(AND(D282="",E282=""),"",SUM(D282:E282))</f>
      </c>
      <c r="H282" s="7">
        <f>IFERROR(IF(E282="","",G282/E282),"")</f>
      </c>
    </row>
    <row r="283" ht="18" customHeight="1" spans="1:8" x14ac:dyDescent="0.25">
      <c r="A283" s="5"/>
      <c r="F283">
        <f>IF(AND(D283="",E283=""),"",SUM(D283:E283))</f>
      </c>
      <c r="H283" s="7">
        <f>IFERROR(IF(E283="","",G283/E283),"")</f>
      </c>
    </row>
    <row r="284" ht="18" customHeight="1" spans="1:8" x14ac:dyDescent="0.25">
      <c r="A284" s="5"/>
      <c r="F284">
        <f>IF(AND(D284="",E284=""),"",SUM(D284:E284))</f>
      </c>
      <c r="H284" s="7">
        <f>IFERROR(IF(E284="","",G284/E284),"")</f>
      </c>
    </row>
    <row r="285" ht="18" customHeight="1" spans="1:8" x14ac:dyDescent="0.25">
      <c r="A285" s="5"/>
      <c r="F285">
        <f>IF(AND(D285="",E285=""),"",SUM(D285:E285))</f>
      </c>
      <c r="H285" s="7">
        <f>IFERROR(IF(E285="","",G285/E285),"")</f>
      </c>
    </row>
    <row r="286" ht="18" customHeight="1" spans="1:8" x14ac:dyDescent="0.25">
      <c r="A286" s="5"/>
      <c r="F286">
        <f>IF(AND(D286="",E286=""),"",SUM(D286:E286))</f>
      </c>
      <c r="H286" s="7">
        <f>IFERROR(IF(E286="","",G286/E286),"")</f>
      </c>
    </row>
    <row r="287" ht="18" customHeight="1" spans="1:8" x14ac:dyDescent="0.25">
      <c r="A287" s="5"/>
      <c r="F287">
        <f>IF(AND(D287="",E287=""),"",SUM(D287:E287))</f>
      </c>
      <c r="H287" s="7">
        <f>IFERROR(IF(E287="","",G287/E287),"")</f>
      </c>
    </row>
    <row r="288" ht="18" customHeight="1" spans="1:8" x14ac:dyDescent="0.25">
      <c r="A288" s="5"/>
      <c r="F288">
        <f>IF(AND(D288="",E288=""),"",SUM(D288:E288))</f>
      </c>
      <c r="H288" s="7">
        <f>IFERROR(IF(E288="","",G288/E288),"")</f>
      </c>
    </row>
    <row r="289" ht="18" customHeight="1" spans="1:8" x14ac:dyDescent="0.25">
      <c r="A289" s="5"/>
      <c r="F289">
        <f>IF(AND(D289="",E289=""),"",SUM(D289:E289))</f>
      </c>
      <c r="H289" s="7">
        <f>IFERROR(IF(E289="","",G289/E289),"")</f>
      </c>
    </row>
    <row r="290" ht="18" customHeight="1" spans="1:8" x14ac:dyDescent="0.25">
      <c r="A290" s="5"/>
      <c r="F290">
        <f>IF(AND(D290="",E290=""),"",SUM(D290:E290))</f>
      </c>
      <c r="H290" s="7">
        <f>IFERROR(IF(E290="","",G290/E290),"")</f>
      </c>
    </row>
    <row r="291" ht="18" customHeight="1" spans="1:8" x14ac:dyDescent="0.25">
      <c r="A291" s="5"/>
      <c r="F291">
        <f>IF(AND(D291="",E291=""),"",SUM(D291:E291))</f>
      </c>
      <c r="H291" s="7">
        <f>IFERROR(IF(E291="","",G291/E291),"")</f>
      </c>
    </row>
    <row r="292" ht="18" customHeight="1" spans="1:8" x14ac:dyDescent="0.25">
      <c r="A292" s="5"/>
      <c r="F292">
        <f>IF(AND(D292="",E292=""),"",SUM(D292:E292))</f>
      </c>
      <c r="H292" s="7">
        <f>IFERROR(IF(E292="","",G292/E292),"")</f>
      </c>
    </row>
    <row r="293" ht="18" customHeight="1" spans="1:8" x14ac:dyDescent="0.25">
      <c r="A293" s="5"/>
      <c r="F293">
        <f>IF(AND(D293="",E293=""),"",SUM(D293:E293))</f>
      </c>
      <c r="H293" s="7">
        <f>IFERROR(IF(E293="","",G293/E293),"")</f>
      </c>
    </row>
    <row r="294" ht="18" customHeight="1" spans="1:8" x14ac:dyDescent="0.25">
      <c r="A294" s="5"/>
      <c r="F294">
        <f>IF(AND(D294="",E294=""),"",SUM(D294:E294))</f>
      </c>
      <c r="H294" s="7">
        <f>IFERROR(IF(E294="","",G294/E294),"")</f>
      </c>
    </row>
    <row r="295" ht="18" customHeight="1" spans="1:8" x14ac:dyDescent="0.25">
      <c r="A295" s="5"/>
      <c r="F295">
        <f>IF(AND(D295="",E295=""),"",SUM(D295:E295))</f>
      </c>
      <c r="H295" s="7">
        <f>IFERROR(IF(E295="","",G295/E295),"")</f>
      </c>
    </row>
    <row r="296" ht="18" customHeight="1" spans="1:8" x14ac:dyDescent="0.25">
      <c r="A296" s="5"/>
      <c r="F296">
        <f>IF(AND(D296="",E296=""),"",SUM(D296:E296))</f>
      </c>
      <c r="H296" s="7">
        <f>IFERROR(IF(E296="","",G296/E296),"")</f>
      </c>
    </row>
    <row r="297" ht="18" customHeight="1" spans="1:8" x14ac:dyDescent="0.25">
      <c r="A297" s="5"/>
      <c r="F297">
        <f>IF(AND(D297="",E297=""),"",SUM(D297:E297))</f>
      </c>
      <c r="H297" s="7">
        <f>IFERROR(IF(E297="","",G297/E297),"")</f>
      </c>
    </row>
    <row r="298" ht="18" customHeight="1" spans="1:8" x14ac:dyDescent="0.25">
      <c r="A298" s="5"/>
      <c r="F298">
        <f>IF(AND(D298="",E298=""),"",SUM(D298:E298))</f>
      </c>
      <c r="H298" s="7">
        <f>IFERROR(IF(E298="","",G298/E298),"")</f>
      </c>
    </row>
    <row r="299" ht="18" customHeight="1" spans="1:8" x14ac:dyDescent="0.25">
      <c r="A299" s="5"/>
      <c r="F299">
        <f>IF(AND(D299="",E299=""),"",SUM(D299:E299))</f>
      </c>
      <c r="H299" s="7">
        <f>IFERROR(IF(E299="","",G299/E299),"")</f>
      </c>
    </row>
    <row r="300" ht="18" customHeight="1" spans="1:8" x14ac:dyDescent="0.25">
      <c r="A300" s="5"/>
      <c r="F300">
        <f>IF(AND(D300="",E300=""),"",SUM(D300:E300))</f>
      </c>
      <c r="H300" s="7">
        <f>IFERROR(IF(E300="","",G300/E300),"")</f>
      </c>
    </row>
    <row r="301" ht="18" customHeight="1" spans="1:8" x14ac:dyDescent="0.25">
      <c r="A301" s="5"/>
      <c r="F301">
        <f>IF(AND(D301="",E301=""),"",SUM(D301:E301))</f>
      </c>
      <c r="H301" s="7">
        <f>IFERROR(IF(E301="","",G301/E301),"")</f>
      </c>
    </row>
  </sheetData>
  <autoFilter ref="A1:K1"/>
  <dataValidations count="2">
    <dataValidation type="list" allowBlank="1" sqref="I2:I301">
      <formula1>"Y,N,"</formula1>
    </dataValidation>
    <dataValidation type="list" allowBlank="1" sqref="J2:J301">
      <formula1>"Y,N,"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18" customWidth="1"/>
    <col min="4" max="4" width="24" customWidth="1"/>
    <col min="5" max="5" width="18" customWidth="1"/>
    <col min="6" max="7" width="16" customWidth="1"/>
    <col min="8" max="8" width="44" customWidth="1"/>
    <col min="9" max="9" width="14" customWidth="1"/>
    <col min="10" max="10" width="13" customWidth="1"/>
    <col min="11" max="11" width="30" customWidth="1"/>
    <col min="12" max="12" width="12" customWidth="1"/>
    <col min="13" max="13" width="11" customWidth="1"/>
    <col min="14" max="14" width="30" customWidth="1"/>
  </cols>
  <sheetData>
    <row r="1" ht="22" customHeight="1" spans="1:14" x14ac:dyDescent="0.25">
      <c r="A1" s="4" t="s">
        <v>18</v>
      </c>
      <c r="B1" s="4" t="s">
        <v>54</v>
      </c>
      <c r="C1" s="4" t="s">
        <v>44</v>
      </c>
      <c r="D1" s="4" t="s">
        <v>20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32</v>
      </c>
    </row>
    <row r="2" spans="1:14" x14ac:dyDescent="0.25">
      <c r="A2">
        <v>1</v>
      </c>
      <c r="B2" s="5">
        <v>46279.35324872685</v>
      </c>
      <c r="C2" t="s">
        <v>52</v>
      </c>
      <c r="D2" t="s">
        <v>34</v>
      </c>
      <c r="E2" t="s">
        <v>36</v>
      </c>
      <c r="F2" t="s">
        <v>64</v>
      </c>
      <c r="G2" t="s">
        <v>65</v>
      </c>
      <c r="H2" s="3" t="s">
        <v>66</v>
      </c>
      <c r="I2" t="s">
        <v>67</v>
      </c>
      <c r="J2" t="s">
        <v>68</v>
      </c>
      <c r="K2" t="s">
        <v>37</v>
      </c>
      <c r="L2" t="s">
        <v>69</v>
      </c>
      <c r="M2">
        <f>IF(OR(J2="Done",J2="Won't fix"),"",IF(B2="","",TODAY()-B2))</f>
      </c>
      <c r="N2" t="s">
        <v>70</v>
      </c>
    </row>
    <row r="3" ht="30" customHeight="1" spans="2:13" x14ac:dyDescent="0.25">
      <c r="B3" s="5"/>
      <c r="H3" s="3"/>
      <c r="M3">
        <f>IF(OR(J3="Done",J3="Won't fix"),"",IF(B3="","",TODAY()-B3))</f>
      </c>
    </row>
    <row r="4" ht="30" customHeight="1" spans="2:13" x14ac:dyDescent="0.25">
      <c r="B4" s="5"/>
      <c r="H4" s="3"/>
      <c r="M4">
        <f>IF(OR(J4="Done",J4="Won't fix"),"",IF(B4="","",TODAY()-B4))</f>
      </c>
    </row>
    <row r="5" ht="30" customHeight="1" spans="2:13" x14ac:dyDescent="0.25">
      <c r="B5" s="5"/>
      <c r="H5" s="3"/>
      <c r="M5">
        <f>IF(OR(J5="Done",J5="Won't fix"),"",IF(B5="","",TODAY()-B5))</f>
      </c>
    </row>
    <row r="6" ht="30" customHeight="1" spans="2:13" x14ac:dyDescent="0.25">
      <c r="B6" s="5"/>
      <c r="H6" s="3"/>
      <c r="M6">
        <f>IF(OR(J6="Done",J6="Won't fix"),"",IF(B6="","",TODAY()-B6))</f>
      </c>
    </row>
    <row r="7" ht="30" customHeight="1" spans="2:13" x14ac:dyDescent="0.25">
      <c r="B7" s="5"/>
      <c r="H7" s="3"/>
      <c r="M7">
        <f>IF(OR(J7="Done",J7="Won't fix"),"",IF(B7="","",TODAY()-B7))</f>
      </c>
    </row>
    <row r="8" ht="30" customHeight="1" spans="2:13" x14ac:dyDescent="0.25">
      <c r="B8" s="5"/>
      <c r="H8" s="3"/>
      <c r="M8">
        <f>IF(OR(J8="Done",J8="Won't fix"),"",IF(B8="","",TODAY()-B8))</f>
      </c>
    </row>
    <row r="9" ht="30" customHeight="1" spans="2:13" x14ac:dyDescent="0.25">
      <c r="B9" s="5"/>
      <c r="H9" s="3"/>
      <c r="M9">
        <f>IF(OR(J9="Done",J9="Won't fix"),"",IF(B9="","",TODAY()-B9))</f>
      </c>
    </row>
    <row r="10" ht="30" customHeight="1" spans="2:13" x14ac:dyDescent="0.25">
      <c r="B10" s="5"/>
      <c r="H10" s="3"/>
      <c r="M10">
        <f>IF(OR(J10="Done",J10="Won't fix"),"",IF(B10="","",TODAY()-B10))</f>
      </c>
    </row>
    <row r="11" ht="30" customHeight="1" spans="2:13" x14ac:dyDescent="0.25">
      <c r="B11" s="5"/>
      <c r="H11" s="3"/>
      <c r="M11">
        <f>IF(OR(J11="Done",J11="Won't fix"),"",IF(B11="","",TODAY()-B11))</f>
      </c>
    </row>
    <row r="12" ht="30" customHeight="1" spans="2:13" x14ac:dyDescent="0.25">
      <c r="B12" s="5"/>
      <c r="H12" s="3"/>
      <c r="M12">
        <f>IF(OR(J12="Done",J12="Won't fix"),"",IF(B12="","",TODAY()-B12))</f>
      </c>
    </row>
    <row r="13" ht="30" customHeight="1" spans="2:13" x14ac:dyDescent="0.25">
      <c r="B13" s="5"/>
      <c r="H13" s="3"/>
      <c r="M13">
        <f>IF(OR(J13="Done",J13="Won't fix"),"",IF(B13="","",TODAY()-B13))</f>
      </c>
    </row>
    <row r="14" ht="30" customHeight="1" spans="2:13" x14ac:dyDescent="0.25">
      <c r="B14" s="5"/>
      <c r="H14" s="3"/>
      <c r="M14">
        <f>IF(OR(J14="Done",J14="Won't fix"),"",IF(B14="","",TODAY()-B14))</f>
      </c>
    </row>
    <row r="15" ht="30" customHeight="1" spans="2:13" x14ac:dyDescent="0.25">
      <c r="B15" s="5"/>
      <c r="H15" s="3"/>
      <c r="M15">
        <f>IF(OR(J15="Done",J15="Won't fix"),"",IF(B15="","",TODAY()-B15))</f>
      </c>
    </row>
    <row r="16" ht="30" customHeight="1" spans="2:13" x14ac:dyDescent="0.25">
      <c r="B16" s="5"/>
      <c r="H16" s="3"/>
      <c r="M16">
        <f>IF(OR(J16="Done",J16="Won't fix"),"",IF(B16="","",TODAY()-B16))</f>
      </c>
    </row>
    <row r="17" ht="30" customHeight="1" spans="2:13" x14ac:dyDescent="0.25">
      <c r="B17" s="5"/>
      <c r="H17" s="3"/>
      <c r="M17">
        <f>IF(OR(J17="Done",J17="Won't fix"),"",IF(B17="","",TODAY()-B17))</f>
      </c>
    </row>
    <row r="18" ht="30" customHeight="1" spans="2:13" x14ac:dyDescent="0.25">
      <c r="B18" s="5"/>
      <c r="H18" s="3"/>
      <c r="M18">
        <f>IF(OR(J18="Done",J18="Won't fix"),"",IF(B18="","",TODAY()-B18))</f>
      </c>
    </row>
    <row r="19" ht="30" customHeight="1" spans="2:13" x14ac:dyDescent="0.25">
      <c r="B19" s="5"/>
      <c r="H19" s="3"/>
      <c r="M19">
        <f>IF(OR(J19="Done",J19="Won't fix"),"",IF(B19="","",TODAY()-B19))</f>
      </c>
    </row>
    <row r="20" ht="30" customHeight="1" spans="2:13" x14ac:dyDescent="0.25">
      <c r="B20" s="5"/>
      <c r="H20" s="3"/>
      <c r="M20">
        <f>IF(OR(J20="Done",J20="Won't fix"),"",IF(B20="","",TODAY()-B20))</f>
      </c>
    </row>
    <row r="21" ht="30" customHeight="1" spans="2:13" x14ac:dyDescent="0.25">
      <c r="B21" s="5"/>
      <c r="H21" s="3"/>
      <c r="M21">
        <f>IF(OR(J21="Done",J21="Won't fix"),"",IF(B21="","",TODAY()-B21))</f>
      </c>
    </row>
    <row r="22" ht="30" customHeight="1" spans="2:13" x14ac:dyDescent="0.25">
      <c r="B22" s="5"/>
      <c r="H22" s="3"/>
      <c r="M22">
        <f>IF(OR(J22="Done",J22="Won't fix"),"",IF(B22="","",TODAY()-B22))</f>
      </c>
    </row>
    <row r="23" ht="30" customHeight="1" spans="2:13" x14ac:dyDescent="0.25">
      <c r="B23" s="5"/>
      <c r="H23" s="3"/>
      <c r="M23">
        <f>IF(OR(J23="Done",J23="Won't fix"),"",IF(B23="","",TODAY()-B23))</f>
      </c>
    </row>
    <row r="24" ht="30" customHeight="1" spans="2:13" x14ac:dyDescent="0.25">
      <c r="B24" s="5"/>
      <c r="H24" s="3"/>
      <c r="M24">
        <f>IF(OR(J24="Done",J24="Won't fix"),"",IF(B24="","",TODAY()-B24))</f>
      </c>
    </row>
    <row r="25" ht="30" customHeight="1" spans="2:13" x14ac:dyDescent="0.25">
      <c r="B25" s="5"/>
      <c r="H25" s="3"/>
      <c r="M25">
        <f>IF(OR(J25="Done",J25="Won't fix"),"",IF(B25="","",TODAY()-B25))</f>
      </c>
    </row>
    <row r="26" ht="30" customHeight="1" spans="2:13" x14ac:dyDescent="0.25">
      <c r="B26" s="5"/>
      <c r="H26" s="3"/>
      <c r="M26">
        <f>IF(OR(J26="Done",J26="Won't fix"),"",IF(B26="","",TODAY()-B26))</f>
      </c>
    </row>
    <row r="27" ht="30" customHeight="1" spans="2:13" x14ac:dyDescent="0.25">
      <c r="B27" s="5"/>
      <c r="H27" s="3"/>
      <c r="M27">
        <f>IF(OR(J27="Done",J27="Won't fix"),"",IF(B27="","",TODAY()-B27))</f>
      </c>
    </row>
    <row r="28" ht="30" customHeight="1" spans="2:13" x14ac:dyDescent="0.25">
      <c r="B28" s="5"/>
      <c r="H28" s="3"/>
      <c r="M28">
        <f>IF(OR(J28="Done",J28="Won't fix"),"",IF(B28="","",TODAY()-B28))</f>
      </c>
    </row>
    <row r="29" ht="30" customHeight="1" spans="2:13" x14ac:dyDescent="0.25">
      <c r="B29" s="5"/>
      <c r="H29" s="3"/>
      <c r="M29">
        <f>IF(OR(J29="Done",J29="Won't fix"),"",IF(B29="","",TODAY()-B29))</f>
      </c>
    </row>
    <row r="30" ht="30" customHeight="1" spans="2:13" x14ac:dyDescent="0.25">
      <c r="B30" s="5"/>
      <c r="H30" s="3"/>
      <c r="M30">
        <f>IF(OR(J30="Done",J30="Won't fix"),"",IF(B30="","",TODAY()-B30))</f>
      </c>
    </row>
    <row r="31" ht="30" customHeight="1" spans="2:13" x14ac:dyDescent="0.25">
      <c r="B31" s="5"/>
      <c r="H31" s="3"/>
      <c r="M31">
        <f>IF(OR(J31="Done",J31="Won't fix"),"",IF(B31="","",TODAY()-B31))</f>
      </c>
    </row>
    <row r="32" ht="30" customHeight="1" spans="2:13" x14ac:dyDescent="0.25">
      <c r="B32" s="5"/>
      <c r="H32" s="3"/>
      <c r="M32">
        <f>IF(OR(J32="Done",J32="Won't fix"),"",IF(B32="","",TODAY()-B32))</f>
      </c>
    </row>
    <row r="33" ht="30" customHeight="1" spans="2:13" x14ac:dyDescent="0.25">
      <c r="B33" s="5"/>
      <c r="H33" s="3"/>
      <c r="M33">
        <f>IF(OR(J33="Done",J33="Won't fix"),"",IF(B33="","",TODAY()-B33))</f>
      </c>
    </row>
    <row r="34" ht="30" customHeight="1" spans="2:13" x14ac:dyDescent="0.25">
      <c r="B34" s="5"/>
      <c r="H34" s="3"/>
      <c r="M34">
        <f>IF(OR(J34="Done",J34="Won't fix"),"",IF(B34="","",TODAY()-B34))</f>
      </c>
    </row>
    <row r="35" ht="30" customHeight="1" spans="2:13" x14ac:dyDescent="0.25">
      <c r="B35" s="5"/>
      <c r="H35" s="3"/>
      <c r="M35">
        <f>IF(OR(J35="Done",J35="Won't fix"),"",IF(B35="","",TODAY()-B35))</f>
      </c>
    </row>
    <row r="36" ht="30" customHeight="1" spans="2:13" x14ac:dyDescent="0.25">
      <c r="B36" s="5"/>
      <c r="H36" s="3"/>
      <c r="M36">
        <f>IF(OR(J36="Done",J36="Won't fix"),"",IF(B36="","",TODAY()-B36))</f>
      </c>
    </row>
    <row r="37" ht="30" customHeight="1" spans="2:13" x14ac:dyDescent="0.25">
      <c r="B37" s="5"/>
      <c r="H37" s="3"/>
      <c r="M37">
        <f>IF(OR(J37="Done",J37="Won't fix"),"",IF(B37="","",TODAY()-B37))</f>
      </c>
    </row>
    <row r="38" ht="30" customHeight="1" spans="2:13" x14ac:dyDescent="0.25">
      <c r="B38" s="5"/>
      <c r="H38" s="3"/>
      <c r="M38">
        <f>IF(OR(J38="Done",J38="Won't fix"),"",IF(B38="","",TODAY()-B38))</f>
      </c>
    </row>
    <row r="39" ht="30" customHeight="1" spans="2:13" x14ac:dyDescent="0.25">
      <c r="B39" s="5"/>
      <c r="H39" s="3"/>
      <c r="M39">
        <f>IF(OR(J39="Done",J39="Won't fix"),"",IF(B39="","",TODAY()-B39))</f>
      </c>
    </row>
    <row r="40" ht="30" customHeight="1" spans="2:13" x14ac:dyDescent="0.25">
      <c r="B40" s="5"/>
      <c r="H40" s="3"/>
      <c r="M40">
        <f>IF(OR(J40="Done",J40="Won't fix"),"",IF(B40="","",TODAY()-B40))</f>
      </c>
    </row>
    <row r="41" ht="30" customHeight="1" spans="2:13" x14ac:dyDescent="0.25">
      <c r="B41" s="5"/>
      <c r="H41" s="3"/>
      <c r="M41">
        <f>IF(OR(J41="Done",J41="Won't fix"),"",IF(B41="","",TODAY()-B41))</f>
      </c>
    </row>
    <row r="42" ht="30" customHeight="1" spans="2:13" x14ac:dyDescent="0.25">
      <c r="B42" s="5"/>
      <c r="H42" s="3"/>
      <c r="M42">
        <f>IF(OR(J42="Done",J42="Won't fix"),"",IF(B42="","",TODAY()-B42))</f>
      </c>
    </row>
    <row r="43" ht="30" customHeight="1" spans="2:13" x14ac:dyDescent="0.25">
      <c r="B43" s="5"/>
      <c r="H43" s="3"/>
      <c r="M43">
        <f>IF(OR(J43="Done",J43="Won't fix"),"",IF(B43="","",TODAY()-B43))</f>
      </c>
    </row>
    <row r="44" ht="30" customHeight="1" spans="2:13" x14ac:dyDescent="0.25">
      <c r="B44" s="5"/>
      <c r="H44" s="3"/>
      <c r="M44">
        <f>IF(OR(J44="Done",J44="Won't fix"),"",IF(B44="","",TODAY()-B44))</f>
      </c>
    </row>
    <row r="45" ht="30" customHeight="1" spans="2:13" x14ac:dyDescent="0.25">
      <c r="B45" s="5"/>
      <c r="H45" s="3"/>
      <c r="M45">
        <f>IF(OR(J45="Done",J45="Won't fix"),"",IF(B45="","",TODAY()-B45))</f>
      </c>
    </row>
    <row r="46" ht="30" customHeight="1" spans="2:13" x14ac:dyDescent="0.25">
      <c r="B46" s="5"/>
      <c r="H46" s="3"/>
      <c r="M46">
        <f>IF(OR(J46="Done",J46="Won't fix"),"",IF(B46="","",TODAY()-B46))</f>
      </c>
    </row>
    <row r="47" ht="30" customHeight="1" spans="2:13" x14ac:dyDescent="0.25">
      <c r="B47" s="5"/>
      <c r="H47" s="3"/>
      <c r="M47">
        <f>IF(OR(J47="Done",J47="Won't fix"),"",IF(B47="","",TODAY()-B47))</f>
      </c>
    </row>
    <row r="48" ht="30" customHeight="1" spans="2:13" x14ac:dyDescent="0.25">
      <c r="B48" s="5"/>
      <c r="H48" s="3"/>
      <c r="M48">
        <f>IF(OR(J48="Done",J48="Won't fix"),"",IF(B48="","",TODAY()-B48))</f>
      </c>
    </row>
    <row r="49" ht="30" customHeight="1" spans="2:13" x14ac:dyDescent="0.25">
      <c r="B49" s="5"/>
      <c r="H49" s="3"/>
      <c r="M49">
        <f>IF(OR(J49="Done",J49="Won't fix"),"",IF(B49="","",TODAY()-B49))</f>
      </c>
    </row>
    <row r="50" ht="30" customHeight="1" spans="2:13" x14ac:dyDescent="0.25">
      <c r="B50" s="5"/>
      <c r="H50" s="3"/>
      <c r="M50">
        <f>IF(OR(J50="Done",J50="Won't fix"),"",IF(B50="","",TODAY()-B50))</f>
      </c>
    </row>
    <row r="51" ht="30" customHeight="1" spans="2:13" x14ac:dyDescent="0.25">
      <c r="B51" s="5"/>
      <c r="H51" s="3"/>
      <c r="M51">
        <f>IF(OR(J51="Done",J51="Won't fix"),"",IF(B51="","",TODAY()-B51))</f>
      </c>
    </row>
    <row r="52" ht="30" customHeight="1" spans="2:13" x14ac:dyDescent="0.25">
      <c r="B52" s="5"/>
      <c r="H52" s="3"/>
      <c r="M52">
        <f>IF(OR(J52="Done",J52="Won't fix"),"",IF(B52="","",TODAY()-B52))</f>
      </c>
    </row>
    <row r="53" ht="30" customHeight="1" spans="2:13" x14ac:dyDescent="0.25">
      <c r="B53" s="5"/>
      <c r="H53" s="3"/>
      <c r="M53">
        <f>IF(OR(J53="Done",J53="Won't fix"),"",IF(B53="","",TODAY()-B53))</f>
      </c>
    </row>
    <row r="54" ht="30" customHeight="1" spans="2:13" x14ac:dyDescent="0.25">
      <c r="B54" s="5"/>
      <c r="H54" s="3"/>
      <c r="M54">
        <f>IF(OR(J54="Done",J54="Won't fix"),"",IF(B54="","",TODAY()-B54))</f>
      </c>
    </row>
    <row r="55" ht="30" customHeight="1" spans="2:13" x14ac:dyDescent="0.25">
      <c r="B55" s="5"/>
      <c r="H55" s="3"/>
      <c r="M55">
        <f>IF(OR(J55="Done",J55="Won't fix"),"",IF(B55="","",TODAY()-B55))</f>
      </c>
    </row>
    <row r="56" ht="30" customHeight="1" spans="2:13" x14ac:dyDescent="0.25">
      <c r="B56" s="5"/>
      <c r="H56" s="3"/>
      <c r="M56">
        <f>IF(OR(J56="Done",J56="Won't fix"),"",IF(B56="","",TODAY()-B56))</f>
      </c>
    </row>
    <row r="57" ht="30" customHeight="1" spans="2:13" x14ac:dyDescent="0.25">
      <c r="B57" s="5"/>
      <c r="H57" s="3"/>
      <c r="M57">
        <f>IF(OR(J57="Done",J57="Won't fix"),"",IF(B57="","",TODAY()-B57))</f>
      </c>
    </row>
    <row r="58" ht="30" customHeight="1" spans="2:13" x14ac:dyDescent="0.25">
      <c r="B58" s="5"/>
      <c r="H58" s="3"/>
      <c r="M58">
        <f>IF(OR(J58="Done",J58="Won't fix"),"",IF(B58="","",TODAY()-B58))</f>
      </c>
    </row>
    <row r="59" ht="30" customHeight="1" spans="2:13" x14ac:dyDescent="0.25">
      <c r="B59" s="5"/>
      <c r="H59" s="3"/>
      <c r="M59">
        <f>IF(OR(J59="Done",J59="Won't fix"),"",IF(B59="","",TODAY()-B59))</f>
      </c>
    </row>
    <row r="60" ht="30" customHeight="1" spans="2:13" x14ac:dyDescent="0.25">
      <c r="B60" s="5"/>
      <c r="H60" s="3"/>
      <c r="M60">
        <f>IF(OR(J60="Done",J60="Won't fix"),"",IF(B60="","",TODAY()-B60))</f>
      </c>
    </row>
    <row r="61" ht="30" customHeight="1" spans="2:13" x14ac:dyDescent="0.25">
      <c r="B61" s="5"/>
      <c r="H61" s="3"/>
      <c r="M61">
        <f>IF(OR(J61="Done",J61="Won't fix"),"",IF(B61="","",TODAY()-B61))</f>
      </c>
    </row>
    <row r="62" ht="30" customHeight="1" spans="2:13" x14ac:dyDescent="0.25">
      <c r="B62" s="5"/>
      <c r="H62" s="3"/>
      <c r="M62">
        <f>IF(OR(J62="Done",J62="Won't fix"),"",IF(B62="","",TODAY()-B62))</f>
      </c>
    </row>
    <row r="63" ht="30" customHeight="1" spans="2:13" x14ac:dyDescent="0.25">
      <c r="B63" s="5"/>
      <c r="H63" s="3"/>
      <c r="M63">
        <f>IF(OR(J63="Done",J63="Won't fix"),"",IF(B63="","",TODAY()-B63))</f>
      </c>
    </row>
    <row r="64" ht="30" customHeight="1" spans="2:13" x14ac:dyDescent="0.25">
      <c r="B64" s="5"/>
      <c r="H64" s="3"/>
      <c r="M64">
        <f>IF(OR(J64="Done",J64="Won't fix"),"",IF(B64="","",TODAY()-B64))</f>
      </c>
    </row>
    <row r="65" ht="30" customHeight="1" spans="2:13" x14ac:dyDescent="0.25">
      <c r="B65" s="5"/>
      <c r="H65" s="3"/>
      <c r="M65">
        <f>IF(OR(J65="Done",J65="Won't fix"),"",IF(B65="","",TODAY()-B65))</f>
      </c>
    </row>
    <row r="66" ht="30" customHeight="1" spans="2:13" x14ac:dyDescent="0.25">
      <c r="B66" s="5"/>
      <c r="H66" s="3"/>
      <c r="M66">
        <f>IF(OR(J66="Done",J66="Won't fix"),"",IF(B66="","",TODAY()-B66))</f>
      </c>
    </row>
    <row r="67" ht="30" customHeight="1" spans="2:13" x14ac:dyDescent="0.25">
      <c r="B67" s="5"/>
      <c r="H67" s="3"/>
      <c r="M67">
        <f>IF(OR(J67="Done",J67="Won't fix"),"",IF(B67="","",TODAY()-B67))</f>
      </c>
    </row>
    <row r="68" ht="30" customHeight="1" spans="2:13" x14ac:dyDescent="0.25">
      <c r="B68" s="5"/>
      <c r="H68" s="3"/>
      <c r="M68">
        <f>IF(OR(J68="Done",J68="Won't fix"),"",IF(B68="","",TODAY()-B68))</f>
      </c>
    </row>
    <row r="69" ht="30" customHeight="1" spans="2:13" x14ac:dyDescent="0.25">
      <c r="B69" s="5"/>
      <c r="H69" s="3"/>
      <c r="M69">
        <f>IF(OR(J69="Done",J69="Won't fix"),"",IF(B69="","",TODAY()-B69))</f>
      </c>
    </row>
    <row r="70" ht="30" customHeight="1" spans="2:13" x14ac:dyDescent="0.25">
      <c r="B70" s="5"/>
      <c r="H70" s="3"/>
      <c r="M70">
        <f>IF(OR(J70="Done",J70="Won't fix"),"",IF(B70="","",TODAY()-B70))</f>
      </c>
    </row>
    <row r="71" ht="30" customHeight="1" spans="2:13" x14ac:dyDescent="0.25">
      <c r="B71" s="5"/>
      <c r="H71" s="3"/>
      <c r="M71">
        <f>IF(OR(J71="Done",J71="Won't fix"),"",IF(B71="","",TODAY()-B71))</f>
      </c>
    </row>
    <row r="72" ht="30" customHeight="1" spans="2:13" x14ac:dyDescent="0.25">
      <c r="B72" s="5"/>
      <c r="H72" s="3"/>
      <c r="M72">
        <f>IF(OR(J72="Done",J72="Won't fix"),"",IF(B72="","",TODAY()-B72))</f>
      </c>
    </row>
    <row r="73" ht="30" customHeight="1" spans="2:13" x14ac:dyDescent="0.25">
      <c r="B73" s="5"/>
      <c r="H73" s="3"/>
      <c r="M73">
        <f>IF(OR(J73="Done",J73="Won't fix"),"",IF(B73="","",TODAY()-B73))</f>
      </c>
    </row>
    <row r="74" ht="30" customHeight="1" spans="2:13" x14ac:dyDescent="0.25">
      <c r="B74" s="5"/>
      <c r="H74" s="3"/>
      <c r="M74">
        <f>IF(OR(J74="Done",J74="Won't fix"),"",IF(B74="","",TODAY()-B74))</f>
      </c>
    </row>
    <row r="75" ht="30" customHeight="1" spans="2:13" x14ac:dyDescent="0.25">
      <c r="B75" s="5"/>
      <c r="H75" s="3"/>
      <c r="M75">
        <f>IF(OR(J75="Done",J75="Won't fix"),"",IF(B75="","",TODAY()-B75))</f>
      </c>
    </row>
    <row r="76" ht="30" customHeight="1" spans="2:13" x14ac:dyDescent="0.25">
      <c r="B76" s="5"/>
      <c r="H76" s="3"/>
      <c r="M76">
        <f>IF(OR(J76="Done",J76="Won't fix"),"",IF(B76="","",TODAY()-B76))</f>
      </c>
    </row>
    <row r="77" ht="30" customHeight="1" spans="2:13" x14ac:dyDescent="0.25">
      <c r="B77" s="5"/>
      <c r="H77" s="3"/>
      <c r="M77">
        <f>IF(OR(J77="Done",J77="Won't fix"),"",IF(B77="","",TODAY()-B77))</f>
      </c>
    </row>
    <row r="78" ht="30" customHeight="1" spans="2:13" x14ac:dyDescent="0.25">
      <c r="B78" s="5"/>
      <c r="H78" s="3"/>
      <c r="M78">
        <f>IF(OR(J78="Done",J78="Won't fix"),"",IF(B78="","",TODAY()-B78))</f>
      </c>
    </row>
    <row r="79" ht="30" customHeight="1" spans="2:13" x14ac:dyDescent="0.25">
      <c r="B79" s="5"/>
      <c r="H79" s="3"/>
      <c r="M79">
        <f>IF(OR(J79="Done",J79="Won't fix"),"",IF(B79="","",TODAY()-B79))</f>
      </c>
    </row>
    <row r="80" ht="30" customHeight="1" spans="2:13" x14ac:dyDescent="0.25">
      <c r="B80" s="5"/>
      <c r="H80" s="3"/>
      <c r="M80">
        <f>IF(OR(J80="Done",J80="Won't fix"),"",IF(B80="","",TODAY()-B80))</f>
      </c>
    </row>
    <row r="81" ht="30" customHeight="1" spans="2:13" x14ac:dyDescent="0.25">
      <c r="B81" s="5"/>
      <c r="H81" s="3"/>
      <c r="M81">
        <f>IF(OR(J81="Done",J81="Won't fix"),"",IF(B81="","",TODAY()-B81))</f>
      </c>
    </row>
    <row r="82" ht="30" customHeight="1" spans="2:13" x14ac:dyDescent="0.25">
      <c r="B82" s="5"/>
      <c r="H82" s="3"/>
      <c r="M82">
        <f>IF(OR(J82="Done",J82="Won't fix"),"",IF(B82="","",TODAY()-B82))</f>
      </c>
    </row>
    <row r="83" ht="30" customHeight="1" spans="2:13" x14ac:dyDescent="0.25">
      <c r="B83" s="5"/>
      <c r="H83" s="3"/>
      <c r="M83">
        <f>IF(OR(J83="Done",J83="Won't fix"),"",IF(B83="","",TODAY()-B83))</f>
      </c>
    </row>
    <row r="84" ht="30" customHeight="1" spans="2:13" x14ac:dyDescent="0.25">
      <c r="B84" s="5"/>
      <c r="H84" s="3"/>
      <c r="M84">
        <f>IF(OR(J84="Done",J84="Won't fix"),"",IF(B84="","",TODAY()-B84))</f>
      </c>
    </row>
    <row r="85" ht="30" customHeight="1" spans="2:13" x14ac:dyDescent="0.25">
      <c r="B85" s="5"/>
      <c r="H85" s="3"/>
      <c r="M85">
        <f>IF(OR(J85="Done",J85="Won't fix"),"",IF(B85="","",TODAY()-B85))</f>
      </c>
    </row>
    <row r="86" ht="30" customHeight="1" spans="2:13" x14ac:dyDescent="0.25">
      <c r="B86" s="5"/>
      <c r="H86" s="3"/>
      <c r="M86">
        <f>IF(OR(J86="Done",J86="Won't fix"),"",IF(B86="","",TODAY()-B86))</f>
      </c>
    </row>
    <row r="87" ht="30" customHeight="1" spans="2:13" x14ac:dyDescent="0.25">
      <c r="B87" s="5"/>
      <c r="H87" s="3"/>
      <c r="M87">
        <f>IF(OR(J87="Done",J87="Won't fix"),"",IF(B87="","",TODAY()-B87))</f>
      </c>
    </row>
    <row r="88" ht="30" customHeight="1" spans="2:13" x14ac:dyDescent="0.25">
      <c r="B88" s="5"/>
      <c r="H88" s="3"/>
      <c r="M88">
        <f>IF(OR(J88="Done",J88="Won't fix"),"",IF(B88="","",TODAY()-B88))</f>
      </c>
    </row>
    <row r="89" ht="30" customHeight="1" spans="2:13" x14ac:dyDescent="0.25">
      <c r="B89" s="5"/>
      <c r="H89" s="3"/>
      <c r="M89">
        <f>IF(OR(J89="Done",J89="Won't fix"),"",IF(B89="","",TODAY()-B89))</f>
      </c>
    </row>
    <row r="90" ht="30" customHeight="1" spans="2:13" x14ac:dyDescent="0.25">
      <c r="B90" s="5"/>
      <c r="H90" s="3"/>
      <c r="M90">
        <f>IF(OR(J90="Done",J90="Won't fix"),"",IF(B90="","",TODAY()-B90))</f>
      </c>
    </row>
    <row r="91" ht="30" customHeight="1" spans="2:13" x14ac:dyDescent="0.25">
      <c r="B91" s="5"/>
      <c r="H91" s="3"/>
      <c r="M91">
        <f>IF(OR(J91="Done",J91="Won't fix"),"",IF(B91="","",TODAY()-B91))</f>
      </c>
    </row>
    <row r="92" ht="30" customHeight="1" spans="2:13" x14ac:dyDescent="0.25">
      <c r="B92" s="5"/>
      <c r="H92" s="3"/>
      <c r="M92">
        <f>IF(OR(J92="Done",J92="Won't fix"),"",IF(B92="","",TODAY()-B92))</f>
      </c>
    </row>
    <row r="93" ht="30" customHeight="1" spans="2:13" x14ac:dyDescent="0.25">
      <c r="B93" s="5"/>
      <c r="H93" s="3"/>
      <c r="M93">
        <f>IF(OR(J93="Done",J93="Won't fix"),"",IF(B93="","",TODAY()-B93))</f>
      </c>
    </row>
    <row r="94" ht="30" customHeight="1" spans="2:13" x14ac:dyDescent="0.25">
      <c r="B94" s="5"/>
      <c r="H94" s="3"/>
      <c r="M94">
        <f>IF(OR(J94="Done",J94="Won't fix"),"",IF(B94="","",TODAY()-B94))</f>
      </c>
    </row>
    <row r="95" ht="30" customHeight="1" spans="2:13" x14ac:dyDescent="0.25">
      <c r="B95" s="5"/>
      <c r="H95" s="3"/>
      <c r="M95">
        <f>IF(OR(J95="Done",J95="Won't fix"),"",IF(B95="","",TODAY()-B95))</f>
      </c>
    </row>
    <row r="96" ht="30" customHeight="1" spans="2:13" x14ac:dyDescent="0.25">
      <c r="B96" s="5"/>
      <c r="H96" s="3"/>
      <c r="M96">
        <f>IF(OR(J96="Done",J96="Won't fix"),"",IF(B96="","",TODAY()-B96))</f>
      </c>
    </row>
    <row r="97" ht="30" customHeight="1" spans="2:13" x14ac:dyDescent="0.25">
      <c r="B97" s="5"/>
      <c r="H97" s="3"/>
      <c r="M97">
        <f>IF(OR(J97="Done",J97="Won't fix"),"",IF(B97="","",TODAY()-B97))</f>
      </c>
    </row>
    <row r="98" ht="30" customHeight="1" spans="2:13" x14ac:dyDescent="0.25">
      <c r="B98" s="5"/>
      <c r="H98" s="3"/>
      <c r="M98">
        <f>IF(OR(J98="Done",J98="Won't fix"),"",IF(B98="","",TODAY()-B98))</f>
      </c>
    </row>
    <row r="99" ht="30" customHeight="1" spans="2:13" x14ac:dyDescent="0.25">
      <c r="B99" s="5"/>
      <c r="H99" s="3"/>
      <c r="M99">
        <f>IF(OR(J99="Done",J99="Won't fix"),"",IF(B99="","",TODAY()-B99))</f>
      </c>
    </row>
    <row r="100" ht="30" customHeight="1" spans="2:13" x14ac:dyDescent="0.25">
      <c r="B100" s="5"/>
      <c r="H100" s="3"/>
      <c r="M100">
        <f>IF(OR(J100="Done",J100="Won't fix"),"",IF(B100="","",TODAY()-B100))</f>
      </c>
    </row>
    <row r="101" ht="30" customHeight="1" spans="2:13" x14ac:dyDescent="0.25">
      <c r="B101" s="5"/>
      <c r="H101" s="3"/>
      <c r="M101">
        <f>IF(OR(J101="Done",J101="Won't fix"),"",IF(B101="","",TODAY()-B101))</f>
      </c>
    </row>
    <row r="102" ht="30" customHeight="1" spans="2:13" x14ac:dyDescent="0.25">
      <c r="B102" s="5"/>
      <c r="H102" s="3"/>
      <c r="M102">
        <f>IF(OR(J102="Done",J102="Won't fix"),"",IF(B102="","",TODAY()-B102))</f>
      </c>
    </row>
    <row r="103" ht="30" customHeight="1" spans="2:13" x14ac:dyDescent="0.25">
      <c r="B103" s="5"/>
      <c r="H103" s="3"/>
      <c r="M103">
        <f>IF(OR(J103="Done",J103="Won't fix"),"",IF(B103="","",TODAY()-B103))</f>
      </c>
    </row>
    <row r="104" ht="30" customHeight="1" spans="2:13" x14ac:dyDescent="0.25">
      <c r="B104" s="5"/>
      <c r="H104" s="3"/>
      <c r="M104">
        <f>IF(OR(J104="Done",J104="Won't fix"),"",IF(B104="","",TODAY()-B104))</f>
      </c>
    </row>
    <row r="105" ht="30" customHeight="1" spans="2:13" x14ac:dyDescent="0.25">
      <c r="B105" s="5"/>
      <c r="H105" s="3"/>
      <c r="M105">
        <f>IF(OR(J105="Done",J105="Won't fix"),"",IF(B105="","",TODAY()-B105))</f>
      </c>
    </row>
    <row r="106" ht="30" customHeight="1" spans="2:13" x14ac:dyDescent="0.25">
      <c r="B106" s="5"/>
      <c r="H106" s="3"/>
      <c r="M106">
        <f>IF(OR(J106="Done",J106="Won't fix"),"",IF(B106="","",TODAY()-B106))</f>
      </c>
    </row>
    <row r="107" ht="30" customHeight="1" spans="2:13" x14ac:dyDescent="0.25">
      <c r="B107" s="5"/>
      <c r="H107" s="3"/>
      <c r="M107">
        <f>IF(OR(J107="Done",J107="Won't fix"),"",IF(B107="","",TODAY()-B107))</f>
      </c>
    </row>
    <row r="108" ht="30" customHeight="1" spans="2:13" x14ac:dyDescent="0.25">
      <c r="B108" s="5"/>
      <c r="H108" s="3"/>
      <c r="M108">
        <f>IF(OR(J108="Done",J108="Won't fix"),"",IF(B108="","",TODAY()-B108))</f>
      </c>
    </row>
    <row r="109" ht="30" customHeight="1" spans="2:13" x14ac:dyDescent="0.25">
      <c r="B109" s="5"/>
      <c r="H109" s="3"/>
      <c r="M109">
        <f>IF(OR(J109="Done",J109="Won't fix"),"",IF(B109="","",TODAY()-B109))</f>
      </c>
    </row>
    <row r="110" ht="30" customHeight="1" spans="2:13" x14ac:dyDescent="0.25">
      <c r="B110" s="5"/>
      <c r="H110" s="3"/>
      <c r="M110">
        <f>IF(OR(J110="Done",J110="Won't fix"),"",IF(B110="","",TODAY()-B110))</f>
      </c>
    </row>
    <row r="111" ht="30" customHeight="1" spans="2:13" x14ac:dyDescent="0.25">
      <c r="B111" s="5"/>
      <c r="H111" s="3"/>
      <c r="M111">
        <f>IF(OR(J111="Done",J111="Won't fix"),"",IF(B111="","",TODAY()-B111))</f>
      </c>
    </row>
    <row r="112" ht="30" customHeight="1" spans="2:13" x14ac:dyDescent="0.25">
      <c r="B112" s="5"/>
      <c r="H112" s="3"/>
      <c r="M112">
        <f>IF(OR(J112="Done",J112="Won't fix"),"",IF(B112="","",TODAY()-B112))</f>
      </c>
    </row>
    <row r="113" ht="30" customHeight="1" spans="2:13" x14ac:dyDescent="0.25">
      <c r="B113" s="5"/>
      <c r="H113" s="3"/>
      <c r="M113">
        <f>IF(OR(J113="Done",J113="Won't fix"),"",IF(B113="","",TODAY()-B113))</f>
      </c>
    </row>
    <row r="114" ht="30" customHeight="1" spans="2:13" x14ac:dyDescent="0.25">
      <c r="B114" s="5"/>
      <c r="H114" s="3"/>
      <c r="M114">
        <f>IF(OR(J114="Done",J114="Won't fix"),"",IF(B114="","",TODAY()-B114))</f>
      </c>
    </row>
    <row r="115" ht="30" customHeight="1" spans="2:13" x14ac:dyDescent="0.25">
      <c r="B115" s="5"/>
      <c r="H115" s="3"/>
      <c r="M115">
        <f>IF(OR(J115="Done",J115="Won't fix"),"",IF(B115="","",TODAY()-B115))</f>
      </c>
    </row>
    <row r="116" ht="30" customHeight="1" spans="2:13" x14ac:dyDescent="0.25">
      <c r="B116" s="5"/>
      <c r="H116" s="3"/>
      <c r="M116">
        <f>IF(OR(J116="Done",J116="Won't fix"),"",IF(B116="","",TODAY()-B116))</f>
      </c>
    </row>
    <row r="117" ht="30" customHeight="1" spans="2:13" x14ac:dyDescent="0.25">
      <c r="B117" s="5"/>
      <c r="H117" s="3"/>
      <c r="M117">
        <f>IF(OR(J117="Done",J117="Won't fix"),"",IF(B117="","",TODAY()-B117))</f>
      </c>
    </row>
    <row r="118" ht="30" customHeight="1" spans="2:13" x14ac:dyDescent="0.25">
      <c r="B118" s="5"/>
      <c r="H118" s="3"/>
      <c r="M118">
        <f>IF(OR(J118="Done",J118="Won't fix"),"",IF(B118="","",TODAY()-B118))</f>
      </c>
    </row>
    <row r="119" ht="30" customHeight="1" spans="2:13" x14ac:dyDescent="0.25">
      <c r="B119" s="5"/>
      <c r="H119" s="3"/>
      <c r="M119">
        <f>IF(OR(J119="Done",J119="Won't fix"),"",IF(B119="","",TODAY()-B119))</f>
      </c>
    </row>
    <row r="120" ht="30" customHeight="1" spans="2:13" x14ac:dyDescent="0.25">
      <c r="B120" s="5"/>
      <c r="H120" s="3"/>
      <c r="M120">
        <f>IF(OR(J120="Done",J120="Won't fix"),"",IF(B120="","",TODAY()-B120))</f>
      </c>
    </row>
    <row r="121" ht="30" customHeight="1" spans="2:13" x14ac:dyDescent="0.25">
      <c r="B121" s="5"/>
      <c r="H121" s="3"/>
      <c r="M121">
        <f>IF(OR(J121="Done",J121="Won't fix"),"",IF(B121="","",TODAY()-B121))</f>
      </c>
    </row>
    <row r="122" ht="30" customHeight="1" spans="2:13" x14ac:dyDescent="0.25">
      <c r="B122" s="5"/>
      <c r="H122" s="3"/>
      <c r="M122">
        <f>IF(OR(J122="Done",J122="Won't fix"),"",IF(B122="","",TODAY()-B122))</f>
      </c>
    </row>
    <row r="123" ht="30" customHeight="1" spans="2:13" x14ac:dyDescent="0.25">
      <c r="B123" s="5"/>
      <c r="H123" s="3"/>
      <c r="M123">
        <f>IF(OR(J123="Done",J123="Won't fix"),"",IF(B123="","",TODAY()-B123))</f>
      </c>
    </row>
    <row r="124" ht="30" customHeight="1" spans="2:13" x14ac:dyDescent="0.25">
      <c r="B124" s="5"/>
      <c r="H124" s="3"/>
      <c r="M124">
        <f>IF(OR(J124="Done",J124="Won't fix"),"",IF(B124="","",TODAY()-B124))</f>
      </c>
    </row>
    <row r="125" ht="30" customHeight="1" spans="2:13" x14ac:dyDescent="0.25">
      <c r="B125" s="5"/>
      <c r="H125" s="3"/>
      <c r="M125">
        <f>IF(OR(J125="Done",J125="Won't fix"),"",IF(B125="","",TODAY()-B125))</f>
      </c>
    </row>
    <row r="126" ht="30" customHeight="1" spans="2:13" x14ac:dyDescent="0.25">
      <c r="B126" s="5"/>
      <c r="H126" s="3"/>
      <c r="M126">
        <f>IF(OR(J126="Done",J126="Won't fix"),"",IF(B126="","",TODAY()-B126))</f>
      </c>
    </row>
    <row r="127" ht="30" customHeight="1" spans="2:13" x14ac:dyDescent="0.25">
      <c r="B127" s="5"/>
      <c r="H127" s="3"/>
      <c r="M127">
        <f>IF(OR(J127="Done",J127="Won't fix"),"",IF(B127="","",TODAY()-B127))</f>
      </c>
    </row>
    <row r="128" ht="30" customHeight="1" spans="2:13" x14ac:dyDescent="0.25">
      <c r="B128" s="5"/>
      <c r="H128" s="3"/>
      <c r="M128">
        <f>IF(OR(J128="Done",J128="Won't fix"),"",IF(B128="","",TODAY()-B128))</f>
      </c>
    </row>
    <row r="129" ht="30" customHeight="1" spans="2:13" x14ac:dyDescent="0.25">
      <c r="B129" s="5"/>
      <c r="H129" s="3"/>
      <c r="M129">
        <f>IF(OR(J129="Done",J129="Won't fix"),"",IF(B129="","",TODAY()-B129))</f>
      </c>
    </row>
    <row r="130" ht="30" customHeight="1" spans="2:13" x14ac:dyDescent="0.25">
      <c r="B130" s="5"/>
      <c r="H130" s="3"/>
      <c r="M130">
        <f>IF(OR(J130="Done",J130="Won't fix"),"",IF(B130="","",TODAY()-B130))</f>
      </c>
    </row>
    <row r="131" ht="30" customHeight="1" spans="2:13" x14ac:dyDescent="0.25">
      <c r="B131" s="5"/>
      <c r="H131" s="3"/>
      <c r="M131">
        <f>IF(OR(J131="Done",J131="Won't fix"),"",IF(B131="","",TODAY()-B131))</f>
      </c>
    </row>
    <row r="132" ht="30" customHeight="1" spans="2:13" x14ac:dyDescent="0.25">
      <c r="B132" s="5"/>
      <c r="H132" s="3"/>
      <c r="M132">
        <f>IF(OR(J132="Done",J132="Won't fix"),"",IF(B132="","",TODAY()-B132))</f>
      </c>
    </row>
    <row r="133" ht="30" customHeight="1" spans="2:13" x14ac:dyDescent="0.25">
      <c r="B133" s="5"/>
      <c r="H133" s="3"/>
      <c r="M133">
        <f>IF(OR(J133="Done",J133="Won't fix"),"",IF(B133="","",TODAY()-B133))</f>
      </c>
    </row>
    <row r="134" ht="30" customHeight="1" spans="2:13" x14ac:dyDescent="0.25">
      <c r="B134" s="5"/>
      <c r="H134" s="3"/>
      <c r="M134">
        <f>IF(OR(J134="Done",J134="Won't fix"),"",IF(B134="","",TODAY()-B134))</f>
      </c>
    </row>
    <row r="135" ht="30" customHeight="1" spans="2:13" x14ac:dyDescent="0.25">
      <c r="B135" s="5"/>
      <c r="H135" s="3"/>
      <c r="M135">
        <f>IF(OR(J135="Done",J135="Won't fix"),"",IF(B135="","",TODAY()-B135))</f>
      </c>
    </row>
    <row r="136" ht="30" customHeight="1" spans="2:13" x14ac:dyDescent="0.25">
      <c r="B136" s="5"/>
      <c r="H136" s="3"/>
      <c r="M136">
        <f>IF(OR(J136="Done",J136="Won't fix"),"",IF(B136="","",TODAY()-B136))</f>
      </c>
    </row>
    <row r="137" ht="30" customHeight="1" spans="2:13" x14ac:dyDescent="0.25">
      <c r="B137" s="5"/>
      <c r="H137" s="3"/>
      <c r="M137">
        <f>IF(OR(J137="Done",J137="Won't fix"),"",IF(B137="","",TODAY()-B137))</f>
      </c>
    </row>
    <row r="138" ht="30" customHeight="1" spans="2:13" x14ac:dyDescent="0.25">
      <c r="B138" s="5"/>
      <c r="H138" s="3"/>
      <c r="M138">
        <f>IF(OR(J138="Done",J138="Won't fix"),"",IF(B138="","",TODAY()-B138))</f>
      </c>
    </row>
    <row r="139" ht="30" customHeight="1" spans="2:13" x14ac:dyDescent="0.25">
      <c r="B139" s="5"/>
      <c r="H139" s="3"/>
      <c r="M139">
        <f>IF(OR(J139="Done",J139="Won't fix"),"",IF(B139="","",TODAY()-B139))</f>
      </c>
    </row>
    <row r="140" ht="30" customHeight="1" spans="2:13" x14ac:dyDescent="0.25">
      <c r="B140" s="5"/>
      <c r="H140" s="3"/>
      <c r="M140">
        <f>IF(OR(J140="Done",J140="Won't fix"),"",IF(B140="","",TODAY()-B140))</f>
      </c>
    </row>
    <row r="141" ht="30" customHeight="1" spans="2:13" x14ac:dyDescent="0.25">
      <c r="B141" s="5"/>
      <c r="H141" s="3"/>
      <c r="M141">
        <f>IF(OR(J141="Done",J141="Won't fix"),"",IF(B141="","",TODAY()-B141))</f>
      </c>
    </row>
    <row r="142" ht="30" customHeight="1" spans="2:13" x14ac:dyDescent="0.25">
      <c r="B142" s="5"/>
      <c r="H142" s="3"/>
      <c r="M142">
        <f>IF(OR(J142="Done",J142="Won't fix"),"",IF(B142="","",TODAY()-B142))</f>
      </c>
    </row>
    <row r="143" ht="30" customHeight="1" spans="2:13" x14ac:dyDescent="0.25">
      <c r="B143" s="5"/>
      <c r="H143" s="3"/>
      <c r="M143">
        <f>IF(OR(J143="Done",J143="Won't fix"),"",IF(B143="","",TODAY()-B143))</f>
      </c>
    </row>
    <row r="144" ht="30" customHeight="1" spans="2:13" x14ac:dyDescent="0.25">
      <c r="B144" s="5"/>
      <c r="H144" s="3"/>
      <c r="M144">
        <f>IF(OR(J144="Done",J144="Won't fix"),"",IF(B144="","",TODAY()-B144))</f>
      </c>
    </row>
    <row r="145" ht="30" customHeight="1" spans="2:13" x14ac:dyDescent="0.25">
      <c r="B145" s="5"/>
      <c r="H145" s="3"/>
      <c r="M145">
        <f>IF(OR(J145="Done",J145="Won't fix"),"",IF(B145="","",TODAY()-B145))</f>
      </c>
    </row>
    <row r="146" ht="30" customHeight="1" spans="2:13" x14ac:dyDescent="0.25">
      <c r="B146" s="5"/>
      <c r="H146" s="3"/>
      <c r="M146">
        <f>IF(OR(J146="Done",J146="Won't fix"),"",IF(B146="","",TODAY()-B146))</f>
      </c>
    </row>
    <row r="147" ht="30" customHeight="1" spans="2:13" x14ac:dyDescent="0.25">
      <c r="B147" s="5"/>
      <c r="H147" s="3"/>
      <c r="M147">
        <f>IF(OR(J147="Done",J147="Won't fix"),"",IF(B147="","",TODAY()-B147))</f>
      </c>
    </row>
    <row r="148" ht="30" customHeight="1" spans="2:13" x14ac:dyDescent="0.25">
      <c r="B148" s="5"/>
      <c r="H148" s="3"/>
      <c r="M148">
        <f>IF(OR(J148="Done",J148="Won't fix"),"",IF(B148="","",TODAY()-B148))</f>
      </c>
    </row>
    <row r="149" ht="30" customHeight="1" spans="2:13" x14ac:dyDescent="0.25">
      <c r="B149" s="5"/>
      <c r="H149" s="3"/>
      <c r="M149">
        <f>IF(OR(J149="Done",J149="Won't fix"),"",IF(B149="","",TODAY()-B149))</f>
      </c>
    </row>
    <row r="150" ht="30" customHeight="1" spans="2:13" x14ac:dyDescent="0.25">
      <c r="B150" s="5"/>
      <c r="H150" s="3"/>
      <c r="M150">
        <f>IF(OR(J150="Done",J150="Won't fix"),"",IF(B150="","",TODAY()-B150))</f>
      </c>
    </row>
    <row r="151" ht="30" customHeight="1" spans="2:13" x14ac:dyDescent="0.25">
      <c r="B151" s="5"/>
      <c r="H151" s="3"/>
      <c r="M151">
        <f>IF(OR(J151="Done",J151="Won't fix"),"",IF(B151="","",TODAY()-B151))</f>
      </c>
    </row>
    <row r="152" ht="30" customHeight="1" spans="2:13" x14ac:dyDescent="0.25">
      <c r="B152" s="5"/>
      <c r="H152" s="3"/>
      <c r="M152">
        <f>IF(OR(J152="Done",J152="Won't fix"),"",IF(B152="","",TODAY()-B152))</f>
      </c>
    </row>
    <row r="153" ht="30" customHeight="1" spans="2:13" x14ac:dyDescent="0.25">
      <c r="B153" s="5"/>
      <c r="H153" s="3"/>
      <c r="M153">
        <f>IF(OR(J153="Done",J153="Won't fix"),"",IF(B153="","",TODAY()-B153))</f>
      </c>
    </row>
    <row r="154" ht="30" customHeight="1" spans="2:13" x14ac:dyDescent="0.25">
      <c r="B154" s="5"/>
      <c r="H154" s="3"/>
      <c r="M154">
        <f>IF(OR(J154="Done",J154="Won't fix"),"",IF(B154="","",TODAY()-B154))</f>
      </c>
    </row>
    <row r="155" ht="30" customHeight="1" spans="2:13" x14ac:dyDescent="0.25">
      <c r="B155" s="5"/>
      <c r="H155" s="3"/>
      <c r="M155">
        <f>IF(OR(J155="Done",J155="Won't fix"),"",IF(B155="","",TODAY()-B155))</f>
      </c>
    </row>
    <row r="156" ht="30" customHeight="1" spans="2:13" x14ac:dyDescent="0.25">
      <c r="B156" s="5"/>
      <c r="H156" s="3"/>
      <c r="M156">
        <f>IF(OR(J156="Done",J156="Won't fix"),"",IF(B156="","",TODAY()-B156))</f>
      </c>
    </row>
    <row r="157" ht="30" customHeight="1" spans="2:13" x14ac:dyDescent="0.25">
      <c r="B157" s="5"/>
      <c r="H157" s="3"/>
      <c r="M157">
        <f>IF(OR(J157="Done",J157="Won't fix"),"",IF(B157="","",TODAY()-B157))</f>
      </c>
    </row>
    <row r="158" ht="30" customHeight="1" spans="2:13" x14ac:dyDescent="0.25">
      <c r="B158" s="5"/>
      <c r="H158" s="3"/>
      <c r="M158">
        <f>IF(OR(J158="Done",J158="Won't fix"),"",IF(B158="","",TODAY()-B158))</f>
      </c>
    </row>
    <row r="159" ht="30" customHeight="1" spans="2:13" x14ac:dyDescent="0.25">
      <c r="B159" s="5"/>
      <c r="H159" s="3"/>
      <c r="M159">
        <f>IF(OR(J159="Done",J159="Won't fix"),"",IF(B159="","",TODAY()-B159))</f>
      </c>
    </row>
    <row r="160" ht="30" customHeight="1" spans="2:13" x14ac:dyDescent="0.25">
      <c r="B160" s="5"/>
      <c r="H160" s="3"/>
      <c r="M160">
        <f>IF(OR(J160="Done",J160="Won't fix"),"",IF(B160="","",TODAY()-B160))</f>
      </c>
    </row>
    <row r="161" ht="30" customHeight="1" spans="2:13" x14ac:dyDescent="0.25">
      <c r="B161" s="5"/>
      <c r="H161" s="3"/>
      <c r="M161">
        <f>IF(OR(J161="Done",J161="Won't fix"),"",IF(B161="","",TODAY()-B161))</f>
      </c>
    </row>
    <row r="162" ht="30" customHeight="1" spans="2:13" x14ac:dyDescent="0.25">
      <c r="B162" s="5"/>
      <c r="H162" s="3"/>
      <c r="M162">
        <f>IF(OR(J162="Done",J162="Won't fix"),"",IF(B162="","",TODAY()-B162))</f>
      </c>
    </row>
    <row r="163" ht="30" customHeight="1" spans="2:13" x14ac:dyDescent="0.25">
      <c r="B163" s="5"/>
      <c r="H163" s="3"/>
      <c r="M163">
        <f>IF(OR(J163="Done",J163="Won't fix"),"",IF(B163="","",TODAY()-B163))</f>
      </c>
    </row>
    <row r="164" ht="30" customHeight="1" spans="2:13" x14ac:dyDescent="0.25">
      <c r="B164" s="5"/>
      <c r="H164" s="3"/>
      <c r="M164">
        <f>IF(OR(J164="Done",J164="Won't fix"),"",IF(B164="","",TODAY()-B164))</f>
      </c>
    </row>
    <row r="165" ht="30" customHeight="1" spans="2:13" x14ac:dyDescent="0.25">
      <c r="B165" s="5"/>
      <c r="H165" s="3"/>
      <c r="M165">
        <f>IF(OR(J165="Done",J165="Won't fix"),"",IF(B165="","",TODAY()-B165))</f>
      </c>
    </row>
    <row r="166" ht="30" customHeight="1" spans="2:13" x14ac:dyDescent="0.25">
      <c r="B166" s="5"/>
      <c r="H166" s="3"/>
      <c r="M166">
        <f>IF(OR(J166="Done",J166="Won't fix"),"",IF(B166="","",TODAY()-B166))</f>
      </c>
    </row>
    <row r="167" ht="30" customHeight="1" spans="2:13" x14ac:dyDescent="0.25">
      <c r="B167" s="5"/>
      <c r="H167" s="3"/>
      <c r="M167">
        <f>IF(OR(J167="Done",J167="Won't fix"),"",IF(B167="","",TODAY()-B167))</f>
      </c>
    </row>
    <row r="168" ht="30" customHeight="1" spans="2:13" x14ac:dyDescent="0.25">
      <c r="B168" s="5"/>
      <c r="H168" s="3"/>
      <c r="M168">
        <f>IF(OR(J168="Done",J168="Won't fix"),"",IF(B168="","",TODAY()-B168))</f>
      </c>
    </row>
    <row r="169" ht="30" customHeight="1" spans="2:13" x14ac:dyDescent="0.25">
      <c r="B169" s="5"/>
      <c r="H169" s="3"/>
      <c r="M169">
        <f>IF(OR(J169="Done",J169="Won't fix"),"",IF(B169="","",TODAY()-B169))</f>
      </c>
    </row>
    <row r="170" ht="30" customHeight="1" spans="2:13" x14ac:dyDescent="0.25">
      <c r="B170" s="5"/>
      <c r="H170" s="3"/>
      <c r="M170">
        <f>IF(OR(J170="Done",J170="Won't fix"),"",IF(B170="","",TODAY()-B170))</f>
      </c>
    </row>
    <row r="171" ht="30" customHeight="1" spans="2:13" x14ac:dyDescent="0.25">
      <c r="B171" s="5"/>
      <c r="H171" s="3"/>
      <c r="M171">
        <f>IF(OR(J171="Done",J171="Won't fix"),"",IF(B171="","",TODAY()-B171))</f>
      </c>
    </row>
    <row r="172" ht="30" customHeight="1" spans="2:13" x14ac:dyDescent="0.25">
      <c r="B172" s="5"/>
      <c r="H172" s="3"/>
      <c r="M172">
        <f>IF(OR(J172="Done",J172="Won't fix"),"",IF(B172="","",TODAY()-B172))</f>
      </c>
    </row>
    <row r="173" ht="30" customHeight="1" spans="2:13" x14ac:dyDescent="0.25">
      <c r="B173" s="5"/>
      <c r="H173" s="3"/>
      <c r="M173">
        <f>IF(OR(J173="Done",J173="Won't fix"),"",IF(B173="","",TODAY()-B173))</f>
      </c>
    </row>
    <row r="174" ht="30" customHeight="1" spans="2:13" x14ac:dyDescent="0.25">
      <c r="B174" s="5"/>
      <c r="H174" s="3"/>
      <c r="M174">
        <f>IF(OR(J174="Done",J174="Won't fix"),"",IF(B174="","",TODAY()-B174))</f>
      </c>
    </row>
    <row r="175" ht="30" customHeight="1" spans="2:13" x14ac:dyDescent="0.25">
      <c r="B175" s="5"/>
      <c r="H175" s="3"/>
      <c r="M175">
        <f>IF(OR(J175="Done",J175="Won't fix"),"",IF(B175="","",TODAY()-B175))</f>
      </c>
    </row>
    <row r="176" ht="30" customHeight="1" spans="2:13" x14ac:dyDescent="0.25">
      <c r="B176" s="5"/>
      <c r="H176" s="3"/>
      <c r="M176">
        <f>IF(OR(J176="Done",J176="Won't fix"),"",IF(B176="","",TODAY()-B176))</f>
      </c>
    </row>
    <row r="177" ht="30" customHeight="1" spans="2:13" x14ac:dyDescent="0.25">
      <c r="B177" s="5"/>
      <c r="H177" s="3"/>
      <c r="M177">
        <f>IF(OR(J177="Done",J177="Won't fix"),"",IF(B177="","",TODAY()-B177))</f>
      </c>
    </row>
    <row r="178" ht="30" customHeight="1" spans="2:13" x14ac:dyDescent="0.25">
      <c r="B178" s="5"/>
      <c r="H178" s="3"/>
      <c r="M178">
        <f>IF(OR(J178="Done",J178="Won't fix"),"",IF(B178="","",TODAY()-B178))</f>
      </c>
    </row>
    <row r="179" ht="30" customHeight="1" spans="2:13" x14ac:dyDescent="0.25">
      <c r="B179" s="5"/>
      <c r="H179" s="3"/>
      <c r="M179">
        <f>IF(OR(J179="Done",J179="Won't fix"),"",IF(B179="","",TODAY()-B179))</f>
      </c>
    </row>
    <row r="180" ht="30" customHeight="1" spans="2:13" x14ac:dyDescent="0.25">
      <c r="B180" s="5"/>
      <c r="H180" s="3"/>
      <c r="M180">
        <f>IF(OR(J180="Done",J180="Won't fix"),"",IF(B180="","",TODAY()-B180))</f>
      </c>
    </row>
    <row r="181" ht="30" customHeight="1" spans="2:13" x14ac:dyDescent="0.25">
      <c r="B181" s="5"/>
      <c r="H181" s="3"/>
      <c r="M181">
        <f>IF(OR(J181="Done",J181="Won't fix"),"",IF(B181="","",TODAY()-B181))</f>
      </c>
    </row>
    <row r="182" ht="30" customHeight="1" spans="2:13" x14ac:dyDescent="0.25">
      <c r="B182" s="5"/>
      <c r="H182" s="3"/>
      <c r="M182">
        <f>IF(OR(J182="Done",J182="Won't fix"),"",IF(B182="","",TODAY()-B182))</f>
      </c>
    </row>
    <row r="183" ht="30" customHeight="1" spans="2:13" x14ac:dyDescent="0.25">
      <c r="B183" s="5"/>
      <c r="H183" s="3"/>
      <c r="M183">
        <f>IF(OR(J183="Done",J183="Won't fix"),"",IF(B183="","",TODAY()-B183))</f>
      </c>
    </row>
    <row r="184" ht="30" customHeight="1" spans="2:13" x14ac:dyDescent="0.25">
      <c r="B184" s="5"/>
      <c r="H184" s="3"/>
      <c r="M184">
        <f>IF(OR(J184="Done",J184="Won't fix"),"",IF(B184="","",TODAY()-B184))</f>
      </c>
    </row>
    <row r="185" ht="30" customHeight="1" spans="2:13" x14ac:dyDescent="0.25">
      <c r="B185" s="5"/>
      <c r="H185" s="3"/>
      <c r="M185">
        <f>IF(OR(J185="Done",J185="Won't fix"),"",IF(B185="","",TODAY()-B185))</f>
      </c>
    </row>
    <row r="186" ht="30" customHeight="1" spans="2:13" x14ac:dyDescent="0.25">
      <c r="B186" s="5"/>
      <c r="H186" s="3"/>
      <c r="M186">
        <f>IF(OR(J186="Done",J186="Won't fix"),"",IF(B186="","",TODAY()-B186))</f>
      </c>
    </row>
    <row r="187" ht="30" customHeight="1" spans="2:13" x14ac:dyDescent="0.25">
      <c r="B187" s="5"/>
      <c r="H187" s="3"/>
      <c r="M187">
        <f>IF(OR(J187="Done",J187="Won't fix"),"",IF(B187="","",TODAY()-B187))</f>
      </c>
    </row>
    <row r="188" ht="30" customHeight="1" spans="2:13" x14ac:dyDescent="0.25">
      <c r="B188" s="5"/>
      <c r="H188" s="3"/>
      <c r="M188">
        <f>IF(OR(J188="Done",J188="Won't fix"),"",IF(B188="","",TODAY()-B188))</f>
      </c>
    </row>
    <row r="189" ht="30" customHeight="1" spans="2:13" x14ac:dyDescent="0.25">
      <c r="B189" s="5"/>
      <c r="H189" s="3"/>
      <c r="M189">
        <f>IF(OR(J189="Done",J189="Won't fix"),"",IF(B189="","",TODAY()-B189))</f>
      </c>
    </row>
    <row r="190" ht="30" customHeight="1" spans="2:13" x14ac:dyDescent="0.25">
      <c r="B190" s="5"/>
      <c r="H190" s="3"/>
      <c r="M190">
        <f>IF(OR(J190="Done",J190="Won't fix"),"",IF(B190="","",TODAY()-B190))</f>
      </c>
    </row>
    <row r="191" ht="30" customHeight="1" spans="2:13" x14ac:dyDescent="0.25">
      <c r="B191" s="5"/>
      <c r="H191" s="3"/>
      <c r="M191">
        <f>IF(OR(J191="Done",J191="Won't fix"),"",IF(B191="","",TODAY()-B191))</f>
      </c>
    </row>
    <row r="192" ht="30" customHeight="1" spans="2:13" x14ac:dyDescent="0.25">
      <c r="B192" s="5"/>
      <c r="H192" s="3"/>
      <c r="M192">
        <f>IF(OR(J192="Done",J192="Won't fix"),"",IF(B192="","",TODAY()-B192))</f>
      </c>
    </row>
    <row r="193" ht="30" customHeight="1" spans="2:13" x14ac:dyDescent="0.25">
      <c r="B193" s="5"/>
      <c r="H193" s="3"/>
      <c r="M193">
        <f>IF(OR(J193="Done",J193="Won't fix"),"",IF(B193="","",TODAY()-B193))</f>
      </c>
    </row>
    <row r="194" ht="30" customHeight="1" spans="2:13" x14ac:dyDescent="0.25">
      <c r="B194" s="5"/>
      <c r="H194" s="3"/>
      <c r="M194">
        <f>IF(OR(J194="Done",J194="Won't fix"),"",IF(B194="","",TODAY()-B194))</f>
      </c>
    </row>
    <row r="195" ht="30" customHeight="1" spans="2:13" x14ac:dyDescent="0.25">
      <c r="B195" s="5"/>
      <c r="H195" s="3"/>
      <c r="M195">
        <f>IF(OR(J195="Done",J195="Won't fix"),"",IF(B195="","",TODAY()-B195))</f>
      </c>
    </row>
    <row r="196" ht="30" customHeight="1" spans="2:13" x14ac:dyDescent="0.25">
      <c r="B196" s="5"/>
      <c r="H196" s="3"/>
      <c r="M196">
        <f>IF(OR(J196="Done",J196="Won't fix"),"",IF(B196="","",TODAY()-B196))</f>
      </c>
    </row>
    <row r="197" ht="30" customHeight="1" spans="2:13" x14ac:dyDescent="0.25">
      <c r="B197" s="5"/>
      <c r="H197" s="3"/>
      <c r="M197">
        <f>IF(OR(J197="Done",J197="Won't fix"),"",IF(B197="","",TODAY()-B197))</f>
      </c>
    </row>
    <row r="198" ht="30" customHeight="1" spans="2:13" x14ac:dyDescent="0.25">
      <c r="B198" s="5"/>
      <c r="H198" s="3"/>
      <c r="M198">
        <f>IF(OR(J198="Done",J198="Won't fix"),"",IF(B198="","",TODAY()-B198))</f>
      </c>
    </row>
    <row r="199" ht="30" customHeight="1" spans="2:13" x14ac:dyDescent="0.25">
      <c r="B199" s="5"/>
      <c r="H199" s="3"/>
      <c r="M199">
        <f>IF(OR(J199="Done",J199="Won't fix"),"",IF(B199="","",TODAY()-B199))</f>
      </c>
    </row>
    <row r="200" ht="30" customHeight="1" spans="2:13" x14ac:dyDescent="0.25">
      <c r="B200" s="5"/>
      <c r="H200" s="3"/>
      <c r="M200">
        <f>IF(OR(J200="Done",J200="Won't fix"),"",IF(B200="","",TODAY()-B200))</f>
      </c>
    </row>
    <row r="201" ht="30" customHeight="1" spans="2:13" x14ac:dyDescent="0.25">
      <c r="B201" s="5"/>
      <c r="H201" s="3"/>
      <c r="M201">
        <f>IF(OR(J201="Done",J201="Won't fix"),"",IF(B201="","",TODAY()-B201))</f>
      </c>
    </row>
    <row r="202" ht="30" customHeight="1" spans="2:13" x14ac:dyDescent="0.25">
      <c r="B202" s="5"/>
      <c r="H202" s="3"/>
      <c r="M202">
        <f>IF(OR(J202="Done",J202="Won't fix"),"",IF(B202="","",TODAY()-B202))</f>
      </c>
    </row>
    <row r="203" ht="30" customHeight="1" spans="2:13" x14ac:dyDescent="0.25">
      <c r="B203" s="5"/>
      <c r="H203" s="3"/>
      <c r="M203">
        <f>IF(OR(J203="Done",J203="Won't fix"),"",IF(B203="","",TODAY()-B203))</f>
      </c>
    </row>
    <row r="204" ht="30" customHeight="1" spans="2:13" x14ac:dyDescent="0.25">
      <c r="B204" s="5"/>
      <c r="H204" s="3"/>
      <c r="M204">
        <f>IF(OR(J204="Done",J204="Won't fix"),"",IF(B204="","",TODAY()-B204))</f>
      </c>
    </row>
    <row r="205" ht="30" customHeight="1" spans="2:13" x14ac:dyDescent="0.25">
      <c r="B205" s="5"/>
      <c r="H205" s="3"/>
      <c r="M205">
        <f>IF(OR(J205="Done",J205="Won't fix"),"",IF(B205="","",TODAY()-B205))</f>
      </c>
    </row>
    <row r="206" ht="30" customHeight="1" spans="2:13" x14ac:dyDescent="0.25">
      <c r="B206" s="5"/>
      <c r="H206" s="3"/>
      <c r="M206">
        <f>IF(OR(J206="Done",J206="Won't fix"),"",IF(B206="","",TODAY()-B206))</f>
      </c>
    </row>
    <row r="207" ht="30" customHeight="1" spans="2:13" x14ac:dyDescent="0.25">
      <c r="B207" s="5"/>
      <c r="H207" s="3"/>
      <c r="M207">
        <f>IF(OR(J207="Done",J207="Won't fix"),"",IF(B207="","",TODAY()-B207))</f>
      </c>
    </row>
    <row r="208" ht="30" customHeight="1" spans="2:13" x14ac:dyDescent="0.25">
      <c r="B208" s="5"/>
      <c r="H208" s="3"/>
      <c r="M208">
        <f>IF(OR(J208="Done",J208="Won't fix"),"",IF(B208="","",TODAY()-B208))</f>
      </c>
    </row>
    <row r="209" ht="30" customHeight="1" spans="2:13" x14ac:dyDescent="0.25">
      <c r="B209" s="5"/>
      <c r="H209" s="3"/>
      <c r="M209">
        <f>IF(OR(J209="Done",J209="Won't fix"),"",IF(B209="","",TODAY()-B209))</f>
      </c>
    </row>
    <row r="210" ht="30" customHeight="1" spans="2:13" x14ac:dyDescent="0.25">
      <c r="B210" s="5"/>
      <c r="H210" s="3"/>
      <c r="M210">
        <f>IF(OR(J210="Done",J210="Won't fix"),"",IF(B210="","",TODAY()-B210))</f>
      </c>
    </row>
    <row r="211" ht="30" customHeight="1" spans="2:13" x14ac:dyDescent="0.25">
      <c r="B211" s="5"/>
      <c r="H211" s="3"/>
      <c r="M211">
        <f>IF(OR(J211="Done",J211="Won't fix"),"",IF(B211="","",TODAY()-B211))</f>
      </c>
    </row>
    <row r="212" ht="30" customHeight="1" spans="2:13" x14ac:dyDescent="0.25">
      <c r="B212" s="5"/>
      <c r="H212" s="3"/>
      <c r="M212">
        <f>IF(OR(J212="Done",J212="Won't fix"),"",IF(B212="","",TODAY()-B212))</f>
      </c>
    </row>
    <row r="213" ht="30" customHeight="1" spans="2:13" x14ac:dyDescent="0.25">
      <c r="B213" s="5"/>
      <c r="H213" s="3"/>
      <c r="M213">
        <f>IF(OR(J213="Done",J213="Won't fix"),"",IF(B213="","",TODAY()-B213))</f>
      </c>
    </row>
    <row r="214" ht="30" customHeight="1" spans="2:13" x14ac:dyDescent="0.25">
      <c r="B214" s="5"/>
      <c r="H214" s="3"/>
      <c r="M214">
        <f>IF(OR(J214="Done",J214="Won't fix"),"",IF(B214="","",TODAY()-B214))</f>
      </c>
    </row>
    <row r="215" ht="30" customHeight="1" spans="2:13" x14ac:dyDescent="0.25">
      <c r="B215" s="5"/>
      <c r="H215" s="3"/>
      <c r="M215">
        <f>IF(OR(J215="Done",J215="Won't fix"),"",IF(B215="","",TODAY()-B215))</f>
      </c>
    </row>
    <row r="216" ht="30" customHeight="1" spans="2:13" x14ac:dyDescent="0.25">
      <c r="B216" s="5"/>
      <c r="H216" s="3"/>
      <c r="M216">
        <f>IF(OR(J216="Done",J216="Won't fix"),"",IF(B216="","",TODAY()-B216))</f>
      </c>
    </row>
    <row r="217" ht="30" customHeight="1" spans="2:13" x14ac:dyDescent="0.25">
      <c r="B217" s="5"/>
      <c r="H217" s="3"/>
      <c r="M217">
        <f>IF(OR(J217="Done",J217="Won't fix"),"",IF(B217="","",TODAY()-B217))</f>
      </c>
    </row>
    <row r="218" ht="30" customHeight="1" spans="2:13" x14ac:dyDescent="0.25">
      <c r="B218" s="5"/>
      <c r="H218" s="3"/>
      <c r="M218">
        <f>IF(OR(J218="Done",J218="Won't fix"),"",IF(B218="","",TODAY()-B218))</f>
      </c>
    </row>
    <row r="219" ht="30" customHeight="1" spans="2:13" x14ac:dyDescent="0.25">
      <c r="B219" s="5"/>
      <c r="H219" s="3"/>
      <c r="M219">
        <f>IF(OR(J219="Done",J219="Won't fix"),"",IF(B219="","",TODAY()-B219))</f>
      </c>
    </row>
    <row r="220" ht="30" customHeight="1" spans="2:13" x14ac:dyDescent="0.25">
      <c r="B220" s="5"/>
      <c r="H220" s="3"/>
      <c r="M220">
        <f>IF(OR(J220="Done",J220="Won't fix"),"",IF(B220="","",TODAY()-B220))</f>
      </c>
    </row>
    <row r="221" ht="30" customHeight="1" spans="2:13" x14ac:dyDescent="0.25">
      <c r="B221" s="5"/>
      <c r="H221" s="3"/>
      <c r="M221">
        <f>IF(OR(J221="Done",J221="Won't fix"),"",IF(B221="","",TODAY()-B221))</f>
      </c>
    </row>
    <row r="222" ht="30" customHeight="1" spans="2:13" x14ac:dyDescent="0.25">
      <c r="B222" s="5"/>
      <c r="H222" s="3"/>
      <c r="M222">
        <f>IF(OR(J222="Done",J222="Won't fix"),"",IF(B222="","",TODAY()-B222))</f>
      </c>
    </row>
    <row r="223" ht="30" customHeight="1" spans="2:13" x14ac:dyDescent="0.25">
      <c r="B223" s="5"/>
      <c r="H223" s="3"/>
      <c r="M223">
        <f>IF(OR(J223="Done",J223="Won't fix"),"",IF(B223="","",TODAY()-B223))</f>
      </c>
    </row>
    <row r="224" ht="30" customHeight="1" spans="2:13" x14ac:dyDescent="0.25">
      <c r="B224" s="5"/>
      <c r="H224" s="3"/>
      <c r="M224">
        <f>IF(OR(J224="Done",J224="Won't fix"),"",IF(B224="","",TODAY()-B224))</f>
      </c>
    </row>
    <row r="225" ht="30" customHeight="1" spans="2:13" x14ac:dyDescent="0.25">
      <c r="B225" s="5"/>
      <c r="H225" s="3"/>
      <c r="M225">
        <f>IF(OR(J225="Done",J225="Won't fix"),"",IF(B225="","",TODAY()-B225))</f>
      </c>
    </row>
    <row r="226" ht="30" customHeight="1" spans="2:13" x14ac:dyDescent="0.25">
      <c r="B226" s="5"/>
      <c r="H226" s="3"/>
      <c r="M226">
        <f>IF(OR(J226="Done",J226="Won't fix"),"",IF(B226="","",TODAY()-B226))</f>
      </c>
    </row>
    <row r="227" ht="30" customHeight="1" spans="2:13" x14ac:dyDescent="0.25">
      <c r="B227" s="5"/>
      <c r="H227" s="3"/>
      <c r="M227">
        <f>IF(OR(J227="Done",J227="Won't fix"),"",IF(B227="","",TODAY()-B227))</f>
      </c>
    </row>
    <row r="228" ht="30" customHeight="1" spans="2:13" x14ac:dyDescent="0.25">
      <c r="B228" s="5"/>
      <c r="H228" s="3"/>
      <c r="M228">
        <f>IF(OR(J228="Done",J228="Won't fix"),"",IF(B228="","",TODAY()-B228))</f>
      </c>
    </row>
    <row r="229" ht="30" customHeight="1" spans="2:13" x14ac:dyDescent="0.25">
      <c r="B229" s="5"/>
      <c r="H229" s="3"/>
      <c r="M229">
        <f>IF(OR(J229="Done",J229="Won't fix"),"",IF(B229="","",TODAY()-B229))</f>
      </c>
    </row>
    <row r="230" ht="30" customHeight="1" spans="2:13" x14ac:dyDescent="0.25">
      <c r="B230" s="5"/>
      <c r="H230" s="3"/>
      <c r="M230">
        <f>IF(OR(J230="Done",J230="Won't fix"),"",IF(B230="","",TODAY()-B230))</f>
      </c>
    </row>
    <row r="231" ht="30" customHeight="1" spans="2:13" x14ac:dyDescent="0.25">
      <c r="B231" s="5"/>
      <c r="H231" s="3"/>
      <c r="M231">
        <f>IF(OR(J231="Done",J231="Won't fix"),"",IF(B231="","",TODAY()-B231))</f>
      </c>
    </row>
    <row r="232" ht="30" customHeight="1" spans="2:13" x14ac:dyDescent="0.25">
      <c r="B232" s="5"/>
      <c r="H232" s="3"/>
      <c r="M232">
        <f>IF(OR(J232="Done",J232="Won't fix"),"",IF(B232="","",TODAY()-B232))</f>
      </c>
    </row>
    <row r="233" ht="30" customHeight="1" spans="2:13" x14ac:dyDescent="0.25">
      <c r="B233" s="5"/>
      <c r="H233" s="3"/>
      <c r="M233">
        <f>IF(OR(J233="Done",J233="Won't fix"),"",IF(B233="","",TODAY()-B233))</f>
      </c>
    </row>
    <row r="234" ht="30" customHeight="1" spans="2:13" x14ac:dyDescent="0.25">
      <c r="B234" s="5"/>
      <c r="H234" s="3"/>
      <c r="M234">
        <f>IF(OR(J234="Done",J234="Won't fix"),"",IF(B234="","",TODAY()-B234))</f>
      </c>
    </row>
    <row r="235" ht="30" customHeight="1" spans="2:13" x14ac:dyDescent="0.25">
      <c r="B235" s="5"/>
      <c r="H235" s="3"/>
      <c r="M235">
        <f>IF(OR(J235="Done",J235="Won't fix"),"",IF(B235="","",TODAY()-B235))</f>
      </c>
    </row>
    <row r="236" ht="30" customHeight="1" spans="2:13" x14ac:dyDescent="0.25">
      <c r="B236" s="5"/>
      <c r="H236" s="3"/>
      <c r="M236">
        <f>IF(OR(J236="Done",J236="Won't fix"),"",IF(B236="","",TODAY()-B236))</f>
      </c>
    </row>
    <row r="237" ht="30" customHeight="1" spans="2:13" x14ac:dyDescent="0.25">
      <c r="B237" s="5"/>
      <c r="H237" s="3"/>
      <c r="M237">
        <f>IF(OR(J237="Done",J237="Won't fix"),"",IF(B237="","",TODAY()-B237))</f>
      </c>
    </row>
    <row r="238" ht="30" customHeight="1" spans="2:13" x14ac:dyDescent="0.25">
      <c r="B238" s="5"/>
      <c r="H238" s="3"/>
      <c r="M238">
        <f>IF(OR(J238="Done",J238="Won't fix"),"",IF(B238="","",TODAY()-B238))</f>
      </c>
    </row>
    <row r="239" ht="30" customHeight="1" spans="2:13" x14ac:dyDescent="0.25">
      <c r="B239" s="5"/>
      <c r="H239" s="3"/>
      <c r="M239">
        <f>IF(OR(J239="Done",J239="Won't fix"),"",IF(B239="","",TODAY()-B239))</f>
      </c>
    </row>
    <row r="240" ht="30" customHeight="1" spans="2:13" x14ac:dyDescent="0.25">
      <c r="B240" s="5"/>
      <c r="H240" s="3"/>
      <c r="M240">
        <f>IF(OR(J240="Done",J240="Won't fix"),"",IF(B240="","",TODAY()-B240))</f>
      </c>
    </row>
    <row r="241" ht="30" customHeight="1" spans="2:13" x14ac:dyDescent="0.25">
      <c r="B241" s="5"/>
      <c r="H241" s="3"/>
      <c r="M241">
        <f>IF(OR(J241="Done",J241="Won't fix"),"",IF(B241="","",TODAY()-B241))</f>
      </c>
    </row>
    <row r="242" ht="30" customHeight="1" spans="2:13" x14ac:dyDescent="0.25">
      <c r="B242" s="5"/>
      <c r="H242" s="3"/>
      <c r="M242">
        <f>IF(OR(J242="Done",J242="Won't fix"),"",IF(B242="","",TODAY()-B242))</f>
      </c>
    </row>
    <row r="243" ht="30" customHeight="1" spans="2:13" x14ac:dyDescent="0.25">
      <c r="B243" s="5"/>
      <c r="H243" s="3"/>
      <c r="M243">
        <f>IF(OR(J243="Done",J243="Won't fix"),"",IF(B243="","",TODAY()-B243))</f>
      </c>
    </row>
    <row r="244" ht="30" customHeight="1" spans="2:13" x14ac:dyDescent="0.25">
      <c r="B244" s="5"/>
      <c r="H244" s="3"/>
      <c r="M244">
        <f>IF(OR(J244="Done",J244="Won't fix"),"",IF(B244="","",TODAY()-B244))</f>
      </c>
    </row>
    <row r="245" ht="30" customHeight="1" spans="2:13" x14ac:dyDescent="0.25">
      <c r="B245" s="5"/>
      <c r="H245" s="3"/>
      <c r="M245">
        <f>IF(OR(J245="Done",J245="Won't fix"),"",IF(B245="","",TODAY()-B245))</f>
      </c>
    </row>
    <row r="246" ht="30" customHeight="1" spans="2:13" x14ac:dyDescent="0.25">
      <c r="B246" s="5"/>
      <c r="H246" s="3"/>
      <c r="M246">
        <f>IF(OR(J246="Done",J246="Won't fix"),"",IF(B246="","",TODAY()-B246))</f>
      </c>
    </row>
    <row r="247" ht="30" customHeight="1" spans="2:13" x14ac:dyDescent="0.25">
      <c r="B247" s="5"/>
      <c r="H247" s="3"/>
      <c r="M247">
        <f>IF(OR(J247="Done",J247="Won't fix"),"",IF(B247="","",TODAY()-B247))</f>
      </c>
    </row>
    <row r="248" ht="30" customHeight="1" spans="2:13" x14ac:dyDescent="0.25">
      <c r="B248" s="5"/>
      <c r="H248" s="3"/>
      <c r="M248">
        <f>IF(OR(J248="Done",J248="Won't fix"),"",IF(B248="","",TODAY()-B248))</f>
      </c>
    </row>
    <row r="249" ht="30" customHeight="1" spans="2:13" x14ac:dyDescent="0.25">
      <c r="B249" s="5"/>
      <c r="H249" s="3"/>
      <c r="M249">
        <f>IF(OR(J249="Done",J249="Won't fix"),"",IF(B249="","",TODAY()-B249))</f>
      </c>
    </row>
    <row r="250" ht="30" customHeight="1" spans="2:13" x14ac:dyDescent="0.25">
      <c r="B250" s="5"/>
      <c r="H250" s="3"/>
      <c r="M250">
        <f>IF(OR(J250="Done",J250="Won't fix"),"",IF(B250="","",TODAY()-B250))</f>
      </c>
    </row>
    <row r="251" ht="30" customHeight="1" spans="2:13" x14ac:dyDescent="0.25">
      <c r="B251" s="5"/>
      <c r="H251" s="3"/>
      <c r="M251">
        <f>IF(OR(J251="Done",J251="Won't fix"),"",IF(B251="","",TODAY()-B251))</f>
      </c>
    </row>
    <row r="252" ht="30" customHeight="1" spans="2:13" x14ac:dyDescent="0.25">
      <c r="B252" s="5"/>
      <c r="H252" s="3"/>
      <c r="M252">
        <f>IF(OR(J252="Done",J252="Won't fix"),"",IF(B252="","",TODAY()-B252))</f>
      </c>
    </row>
    <row r="253" ht="30" customHeight="1" spans="2:13" x14ac:dyDescent="0.25">
      <c r="B253" s="5"/>
      <c r="H253" s="3"/>
      <c r="M253">
        <f>IF(OR(J253="Done",J253="Won't fix"),"",IF(B253="","",TODAY()-B253))</f>
      </c>
    </row>
    <row r="254" ht="30" customHeight="1" spans="2:13" x14ac:dyDescent="0.25">
      <c r="B254" s="5"/>
      <c r="H254" s="3"/>
      <c r="M254">
        <f>IF(OR(J254="Done",J254="Won't fix"),"",IF(B254="","",TODAY()-B254))</f>
      </c>
    </row>
    <row r="255" ht="30" customHeight="1" spans="2:13" x14ac:dyDescent="0.25">
      <c r="B255" s="5"/>
      <c r="H255" s="3"/>
      <c r="M255">
        <f>IF(OR(J255="Done",J255="Won't fix"),"",IF(B255="","",TODAY()-B255))</f>
      </c>
    </row>
    <row r="256" ht="30" customHeight="1" spans="2:13" x14ac:dyDescent="0.25">
      <c r="B256" s="5"/>
      <c r="H256" s="3"/>
      <c r="M256">
        <f>IF(OR(J256="Done",J256="Won't fix"),"",IF(B256="","",TODAY()-B256))</f>
      </c>
    </row>
    <row r="257" ht="30" customHeight="1" spans="2:13" x14ac:dyDescent="0.25">
      <c r="B257" s="5"/>
      <c r="H257" s="3"/>
      <c r="M257">
        <f>IF(OR(J257="Done",J257="Won't fix"),"",IF(B257="","",TODAY()-B257))</f>
      </c>
    </row>
    <row r="258" ht="30" customHeight="1" spans="2:13" x14ac:dyDescent="0.25">
      <c r="B258" s="5"/>
      <c r="H258" s="3"/>
      <c r="M258">
        <f>IF(OR(J258="Done",J258="Won't fix"),"",IF(B258="","",TODAY()-B258))</f>
      </c>
    </row>
    <row r="259" ht="30" customHeight="1" spans="2:13" x14ac:dyDescent="0.25">
      <c r="B259" s="5"/>
      <c r="H259" s="3"/>
      <c r="M259">
        <f>IF(OR(J259="Done",J259="Won't fix"),"",IF(B259="","",TODAY()-B259))</f>
      </c>
    </row>
    <row r="260" ht="30" customHeight="1" spans="2:13" x14ac:dyDescent="0.25">
      <c r="B260" s="5"/>
      <c r="H260" s="3"/>
      <c r="M260">
        <f>IF(OR(J260="Done",J260="Won't fix"),"",IF(B260="","",TODAY()-B260))</f>
      </c>
    </row>
    <row r="261" ht="30" customHeight="1" spans="2:13" x14ac:dyDescent="0.25">
      <c r="B261" s="5"/>
      <c r="H261" s="3"/>
      <c r="M261">
        <f>IF(OR(J261="Done",J261="Won't fix"),"",IF(B261="","",TODAY()-B261))</f>
      </c>
    </row>
    <row r="262" ht="30" customHeight="1" spans="2:13" x14ac:dyDescent="0.25">
      <c r="B262" s="5"/>
      <c r="H262" s="3"/>
      <c r="M262">
        <f>IF(OR(J262="Done",J262="Won't fix"),"",IF(B262="","",TODAY()-B262))</f>
      </c>
    </row>
    <row r="263" ht="30" customHeight="1" spans="2:13" x14ac:dyDescent="0.25">
      <c r="B263" s="5"/>
      <c r="H263" s="3"/>
      <c r="M263">
        <f>IF(OR(J263="Done",J263="Won't fix"),"",IF(B263="","",TODAY()-B263))</f>
      </c>
    </row>
    <row r="264" ht="30" customHeight="1" spans="2:13" x14ac:dyDescent="0.25">
      <c r="B264" s="5"/>
      <c r="H264" s="3"/>
      <c r="M264">
        <f>IF(OR(J264="Done",J264="Won't fix"),"",IF(B264="","",TODAY()-B264))</f>
      </c>
    </row>
    <row r="265" ht="30" customHeight="1" spans="2:13" x14ac:dyDescent="0.25">
      <c r="B265" s="5"/>
      <c r="H265" s="3"/>
      <c r="M265">
        <f>IF(OR(J265="Done",J265="Won't fix"),"",IF(B265="","",TODAY()-B265))</f>
      </c>
    </row>
    <row r="266" ht="30" customHeight="1" spans="2:13" x14ac:dyDescent="0.25">
      <c r="B266" s="5"/>
      <c r="H266" s="3"/>
      <c r="M266">
        <f>IF(OR(J266="Done",J266="Won't fix"),"",IF(B266="","",TODAY()-B266))</f>
      </c>
    </row>
    <row r="267" ht="30" customHeight="1" spans="2:13" x14ac:dyDescent="0.25">
      <c r="B267" s="5"/>
      <c r="H267" s="3"/>
      <c r="M267">
        <f>IF(OR(J267="Done",J267="Won't fix"),"",IF(B267="","",TODAY()-B267))</f>
      </c>
    </row>
    <row r="268" ht="30" customHeight="1" spans="2:13" x14ac:dyDescent="0.25">
      <c r="B268" s="5"/>
      <c r="H268" s="3"/>
      <c r="M268">
        <f>IF(OR(J268="Done",J268="Won't fix"),"",IF(B268="","",TODAY()-B268))</f>
      </c>
    </row>
    <row r="269" ht="30" customHeight="1" spans="2:13" x14ac:dyDescent="0.25">
      <c r="B269" s="5"/>
      <c r="H269" s="3"/>
      <c r="M269">
        <f>IF(OR(J269="Done",J269="Won't fix"),"",IF(B269="","",TODAY()-B269))</f>
      </c>
    </row>
    <row r="270" ht="30" customHeight="1" spans="2:13" x14ac:dyDescent="0.25">
      <c r="B270" s="5"/>
      <c r="H270" s="3"/>
      <c r="M270">
        <f>IF(OR(J270="Done",J270="Won't fix"),"",IF(B270="","",TODAY()-B270))</f>
      </c>
    </row>
    <row r="271" ht="30" customHeight="1" spans="2:13" x14ac:dyDescent="0.25">
      <c r="B271" s="5"/>
      <c r="H271" s="3"/>
      <c r="M271">
        <f>IF(OR(J271="Done",J271="Won't fix"),"",IF(B271="","",TODAY()-B271))</f>
      </c>
    </row>
    <row r="272" ht="30" customHeight="1" spans="2:13" x14ac:dyDescent="0.25">
      <c r="B272" s="5"/>
      <c r="H272" s="3"/>
      <c r="M272">
        <f>IF(OR(J272="Done",J272="Won't fix"),"",IF(B272="","",TODAY()-B272))</f>
      </c>
    </row>
    <row r="273" ht="30" customHeight="1" spans="2:13" x14ac:dyDescent="0.25">
      <c r="B273" s="5"/>
      <c r="H273" s="3"/>
      <c r="M273">
        <f>IF(OR(J273="Done",J273="Won't fix"),"",IF(B273="","",TODAY()-B273))</f>
      </c>
    </row>
    <row r="274" ht="30" customHeight="1" spans="2:13" x14ac:dyDescent="0.25">
      <c r="B274" s="5"/>
      <c r="H274" s="3"/>
      <c r="M274">
        <f>IF(OR(J274="Done",J274="Won't fix"),"",IF(B274="","",TODAY()-B274))</f>
      </c>
    </row>
    <row r="275" ht="30" customHeight="1" spans="2:13" x14ac:dyDescent="0.25">
      <c r="B275" s="5"/>
      <c r="H275" s="3"/>
      <c r="M275">
        <f>IF(OR(J275="Done",J275="Won't fix"),"",IF(B275="","",TODAY()-B275))</f>
      </c>
    </row>
    <row r="276" ht="30" customHeight="1" spans="2:13" x14ac:dyDescent="0.25">
      <c r="B276" s="5"/>
      <c r="H276" s="3"/>
      <c r="M276">
        <f>IF(OR(J276="Done",J276="Won't fix"),"",IF(B276="","",TODAY()-B276))</f>
      </c>
    </row>
    <row r="277" ht="30" customHeight="1" spans="2:13" x14ac:dyDescent="0.25">
      <c r="B277" s="5"/>
      <c r="H277" s="3"/>
      <c r="M277">
        <f>IF(OR(J277="Done",J277="Won't fix"),"",IF(B277="","",TODAY()-B277))</f>
      </c>
    </row>
    <row r="278" ht="30" customHeight="1" spans="2:13" x14ac:dyDescent="0.25">
      <c r="B278" s="5"/>
      <c r="H278" s="3"/>
      <c r="M278">
        <f>IF(OR(J278="Done",J278="Won't fix"),"",IF(B278="","",TODAY()-B278))</f>
      </c>
    </row>
    <row r="279" ht="30" customHeight="1" spans="2:13" x14ac:dyDescent="0.25">
      <c r="B279" s="5"/>
      <c r="H279" s="3"/>
      <c r="M279">
        <f>IF(OR(J279="Done",J279="Won't fix"),"",IF(B279="","",TODAY()-B279))</f>
      </c>
    </row>
    <row r="280" ht="30" customHeight="1" spans="2:13" x14ac:dyDescent="0.25">
      <c r="B280" s="5"/>
      <c r="H280" s="3"/>
      <c r="M280">
        <f>IF(OR(J280="Done",J280="Won't fix"),"",IF(B280="","",TODAY()-B280))</f>
      </c>
    </row>
    <row r="281" ht="30" customHeight="1" spans="2:13" x14ac:dyDescent="0.25">
      <c r="B281" s="5"/>
      <c r="H281" s="3"/>
      <c r="M281">
        <f>IF(OR(J281="Done",J281="Won't fix"),"",IF(B281="","",TODAY()-B281))</f>
      </c>
    </row>
    <row r="282" ht="30" customHeight="1" spans="2:13" x14ac:dyDescent="0.25">
      <c r="B282" s="5"/>
      <c r="H282" s="3"/>
      <c r="M282">
        <f>IF(OR(J282="Done",J282="Won't fix"),"",IF(B282="","",TODAY()-B282))</f>
      </c>
    </row>
    <row r="283" ht="30" customHeight="1" spans="2:13" x14ac:dyDescent="0.25">
      <c r="B283" s="5"/>
      <c r="H283" s="3"/>
      <c r="M283">
        <f>IF(OR(J283="Done",J283="Won't fix"),"",IF(B283="","",TODAY()-B283))</f>
      </c>
    </row>
    <row r="284" ht="30" customHeight="1" spans="2:13" x14ac:dyDescent="0.25">
      <c r="B284" s="5"/>
      <c r="H284" s="3"/>
      <c r="M284">
        <f>IF(OR(J284="Done",J284="Won't fix"),"",IF(B284="","",TODAY()-B284))</f>
      </c>
    </row>
    <row r="285" ht="30" customHeight="1" spans="2:13" x14ac:dyDescent="0.25">
      <c r="B285" s="5"/>
      <c r="H285" s="3"/>
      <c r="M285">
        <f>IF(OR(J285="Done",J285="Won't fix"),"",IF(B285="","",TODAY()-B285))</f>
      </c>
    </row>
    <row r="286" ht="30" customHeight="1" spans="2:13" x14ac:dyDescent="0.25">
      <c r="B286" s="5"/>
      <c r="H286" s="3"/>
      <c r="M286">
        <f>IF(OR(J286="Done",J286="Won't fix"),"",IF(B286="","",TODAY()-B286))</f>
      </c>
    </row>
    <row r="287" ht="30" customHeight="1" spans="2:13" x14ac:dyDescent="0.25">
      <c r="B287" s="5"/>
      <c r="H287" s="3"/>
      <c r="M287">
        <f>IF(OR(J287="Done",J287="Won't fix"),"",IF(B287="","",TODAY()-B287))</f>
      </c>
    </row>
    <row r="288" ht="30" customHeight="1" spans="2:13" x14ac:dyDescent="0.25">
      <c r="B288" s="5"/>
      <c r="H288" s="3"/>
      <c r="M288">
        <f>IF(OR(J288="Done",J288="Won't fix"),"",IF(B288="","",TODAY()-B288))</f>
      </c>
    </row>
    <row r="289" ht="30" customHeight="1" spans="2:13" x14ac:dyDescent="0.25">
      <c r="B289" s="5"/>
      <c r="H289" s="3"/>
      <c r="M289">
        <f>IF(OR(J289="Done",J289="Won't fix"),"",IF(B289="","",TODAY()-B289))</f>
      </c>
    </row>
    <row r="290" ht="30" customHeight="1" spans="2:13" x14ac:dyDescent="0.25">
      <c r="B290" s="5"/>
      <c r="H290" s="3"/>
      <c r="M290">
        <f>IF(OR(J290="Done",J290="Won't fix"),"",IF(B290="","",TODAY()-B290))</f>
      </c>
    </row>
    <row r="291" ht="30" customHeight="1" spans="2:13" x14ac:dyDescent="0.25">
      <c r="B291" s="5"/>
      <c r="H291" s="3"/>
      <c r="M291">
        <f>IF(OR(J291="Done",J291="Won't fix"),"",IF(B291="","",TODAY()-B291))</f>
      </c>
    </row>
    <row r="292" ht="30" customHeight="1" spans="2:13" x14ac:dyDescent="0.25">
      <c r="B292" s="5"/>
      <c r="H292" s="3"/>
      <c r="M292">
        <f>IF(OR(J292="Done",J292="Won't fix"),"",IF(B292="","",TODAY()-B292))</f>
      </c>
    </row>
    <row r="293" ht="30" customHeight="1" spans="2:13" x14ac:dyDescent="0.25">
      <c r="B293" s="5"/>
      <c r="H293" s="3"/>
      <c r="M293">
        <f>IF(OR(J293="Done",J293="Won't fix"),"",IF(B293="","",TODAY()-B293))</f>
      </c>
    </row>
    <row r="294" ht="30" customHeight="1" spans="2:13" x14ac:dyDescent="0.25">
      <c r="B294" s="5"/>
      <c r="H294" s="3"/>
      <c r="M294">
        <f>IF(OR(J294="Done",J294="Won't fix"),"",IF(B294="","",TODAY()-B294))</f>
      </c>
    </row>
    <row r="295" ht="30" customHeight="1" spans="2:13" x14ac:dyDescent="0.25">
      <c r="B295" s="5"/>
      <c r="H295" s="3"/>
      <c r="M295">
        <f>IF(OR(J295="Done",J295="Won't fix"),"",IF(B295="","",TODAY()-B295))</f>
      </c>
    </row>
    <row r="296" ht="30" customHeight="1" spans="2:13" x14ac:dyDescent="0.25">
      <c r="B296" s="5"/>
      <c r="H296" s="3"/>
      <c r="M296">
        <f>IF(OR(J296="Done",J296="Won't fix"),"",IF(B296="","",TODAY()-B296))</f>
      </c>
    </row>
    <row r="297" ht="30" customHeight="1" spans="2:13" x14ac:dyDescent="0.25">
      <c r="B297" s="5"/>
      <c r="H297" s="3"/>
      <c r="M297">
        <f>IF(OR(J297="Done",J297="Won't fix"),"",IF(B297="","",TODAY()-B297))</f>
      </c>
    </row>
    <row r="298" ht="30" customHeight="1" spans="2:13" x14ac:dyDescent="0.25">
      <c r="B298" s="5"/>
      <c r="H298" s="3"/>
      <c r="M298">
        <f>IF(OR(J298="Done",J298="Won't fix"),"",IF(B298="","",TODAY()-B298))</f>
      </c>
    </row>
    <row r="299" ht="30" customHeight="1" spans="2:13" x14ac:dyDescent="0.25">
      <c r="B299" s="5"/>
      <c r="H299" s="3"/>
      <c r="M299">
        <f>IF(OR(J299="Done",J299="Won't fix"),"",IF(B299="","",TODAY()-B299))</f>
      </c>
    </row>
    <row r="300" ht="30" customHeight="1" spans="2:13" x14ac:dyDescent="0.25">
      <c r="B300" s="5"/>
      <c r="H300" s="3"/>
      <c r="M300">
        <f>IF(OR(J300="Done",J300="Won't fix"),"",IF(B300="","",TODAY()-B300))</f>
      </c>
    </row>
    <row r="301" ht="30" customHeight="1" spans="2:13" x14ac:dyDescent="0.25">
      <c r="B301" s="5"/>
      <c r="H301" s="3"/>
      <c r="M301">
        <f>IF(OR(J301="Done",J301="Won't fix"),"",IF(B301="","",TODAY()-B301))</f>
      </c>
    </row>
  </sheetData>
  <autoFilter ref="A1:N1"/>
  <conditionalFormatting sqref="I2:I301">
    <cfRule type="cellIs" dxfId="3" priority="1" operator="equal">
      <formula>"P1-critical"</formula>
    </cfRule>
  </conditionalFormatting>
  <conditionalFormatting sqref="J2:J301">
    <cfRule type="cellIs" dxfId="4" priority="2" operator="equal">
      <formula>"Open"</formula>
    </cfRule>
  </conditionalFormatting>
  <conditionalFormatting sqref="G2:G301">
    <cfRule type="cellIs" dxfId="5" priority="3" operator="equal">
      <formula>"Churn risk"</formula>
    </cfRule>
  </conditionalFormatting>
  <dataValidations count="5">
    <dataValidation type="list" allowBlank="1" sqref="F2:F301">
      <formula1>"Revisit,WhatsApp,Call,Telegram,Dashboard inbox,Other"</formula1>
    </dataValidation>
    <dataValidation type="list" sqref="G2:G301">
      <formula1>"Bug,UX issue,Feature request,Pricing,Onboarding,Praise,Churn risk"</formula1>
    </dataValidation>
    <dataValidation type="list" sqref="I2:I301">
      <formula1>"P1-critical,P2-important,P3-later"</formula1>
    </dataValidation>
    <dataValidation type="list" sqref="J2:J301">
      <formula1>"Open,In Progress,Done,Won't fix"</formula1>
    </dataValidation>
    <dataValidation type="list" allowBlank="1" sqref="L2:L301">
      <formula1>"Y,N,"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4" customWidth="1"/>
    <col min="3" max="3" width="18" customWidth="1"/>
    <col min="4" max="4" width="16" customWidth="1"/>
    <col min="5" max="7" width="13" customWidth="1"/>
    <col min="8" max="8" width="11" customWidth="1"/>
    <col min="9" max="9" width="18" customWidth="1"/>
    <col min="10" max="10" width="11" customWidth="1"/>
    <col min="11" max="11" width="16" customWidth="1"/>
    <col min="12" max="12" width="30" customWidth="1"/>
  </cols>
  <sheetData>
    <row r="1" ht="22" customHeight="1" spans="1:12" x14ac:dyDescent="0.25">
      <c r="A1" s="4" t="s">
        <v>71</v>
      </c>
      <c r="B1" s="4" t="s">
        <v>20</v>
      </c>
      <c r="C1" s="4" t="s">
        <v>44</v>
      </c>
      <c r="D1" s="4" t="s">
        <v>72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4" t="s">
        <v>60</v>
      </c>
      <c r="K1" s="4" t="s">
        <v>23</v>
      </c>
      <c r="L1" s="4" t="s">
        <v>32</v>
      </c>
    </row>
    <row r="2" spans="1:12" x14ac:dyDescent="0.25">
      <c r="A2" t="s">
        <v>78</v>
      </c>
      <c r="B2" t="s">
        <v>34</v>
      </c>
      <c r="C2" t="s">
        <v>52</v>
      </c>
      <c r="D2" t="s">
        <v>79</v>
      </c>
      <c r="E2" s="5">
        <v>46279.353248750005</v>
      </c>
      <c r="F2" s="5">
        <v>46309.353248750005</v>
      </c>
      <c r="G2" s="6">
        <v>299</v>
      </c>
      <c r="H2" t="s">
        <v>80</v>
      </c>
      <c r="I2" t="s">
        <v>37</v>
      </c>
      <c r="J2" t="s">
        <v>81</v>
      </c>
      <c r="K2" t="s">
        <v>37</v>
      </c>
      <c r="L2" t="s">
        <v>82</v>
      </c>
    </row>
    <row r="3" ht="18" customHeight="1" spans="5:7" x14ac:dyDescent="0.25">
      <c r="E3" s="5"/>
      <c r="F3" s="5"/>
      <c r="G3" s="6"/>
    </row>
    <row r="4" ht="18" customHeight="1" spans="5:7" x14ac:dyDescent="0.25">
      <c r="E4" s="5"/>
      <c r="F4" s="5"/>
      <c r="G4" s="6"/>
    </row>
    <row r="5" ht="18" customHeight="1" spans="5:7" x14ac:dyDescent="0.25">
      <c r="E5" s="5"/>
      <c r="F5" s="5"/>
      <c r="G5" s="6"/>
    </row>
    <row r="6" ht="18" customHeight="1" spans="5:7" x14ac:dyDescent="0.25">
      <c r="E6" s="5"/>
      <c r="F6" s="5"/>
      <c r="G6" s="6"/>
    </row>
    <row r="7" ht="18" customHeight="1" spans="5:7" x14ac:dyDescent="0.25">
      <c r="E7" s="5"/>
      <c r="F7" s="5"/>
      <c r="G7" s="6"/>
    </row>
    <row r="8" ht="18" customHeight="1" spans="5:7" x14ac:dyDescent="0.25">
      <c r="E8" s="5"/>
      <c r="F8" s="5"/>
      <c r="G8" s="6"/>
    </row>
    <row r="9" ht="18" customHeight="1" spans="5:7" x14ac:dyDescent="0.25">
      <c r="E9" s="5"/>
      <c r="F9" s="5"/>
      <c r="G9" s="6"/>
    </row>
    <row r="10" ht="18" customHeight="1" spans="5:7" x14ac:dyDescent="0.25">
      <c r="E10" s="5"/>
      <c r="F10" s="5"/>
      <c r="G10" s="6"/>
    </row>
    <row r="11" ht="18" customHeight="1" spans="5:7" x14ac:dyDescent="0.25">
      <c r="E11" s="5"/>
      <c r="F11" s="5"/>
      <c r="G11" s="6"/>
    </row>
    <row r="12" ht="18" customHeight="1" spans="5:7" x14ac:dyDescent="0.25">
      <c r="E12" s="5"/>
      <c r="F12" s="5"/>
      <c r="G12" s="6"/>
    </row>
    <row r="13" ht="18" customHeight="1" spans="5:7" x14ac:dyDescent="0.25">
      <c r="E13" s="5"/>
      <c r="F13" s="5"/>
      <c r="G13" s="6"/>
    </row>
    <row r="14" ht="18" customHeight="1" spans="5:7" x14ac:dyDescent="0.25">
      <c r="E14" s="5"/>
      <c r="F14" s="5"/>
      <c r="G14" s="6"/>
    </row>
    <row r="15" ht="18" customHeight="1" spans="5:7" x14ac:dyDescent="0.25">
      <c r="E15" s="5"/>
      <c r="F15" s="5"/>
      <c r="G15" s="6"/>
    </row>
    <row r="16" ht="18" customHeight="1" spans="5:7" x14ac:dyDescent="0.25">
      <c r="E16" s="5"/>
      <c r="F16" s="5"/>
      <c r="G16" s="6"/>
    </row>
    <row r="17" ht="18" customHeight="1" spans="5:7" x14ac:dyDescent="0.25">
      <c r="E17" s="5"/>
      <c r="F17" s="5"/>
      <c r="G17" s="6"/>
    </row>
    <row r="18" ht="18" customHeight="1" spans="5:7" x14ac:dyDescent="0.25">
      <c r="E18" s="5"/>
      <c r="F18" s="5"/>
      <c r="G18" s="6"/>
    </row>
    <row r="19" ht="18" customHeight="1" spans="5:7" x14ac:dyDescent="0.25">
      <c r="E19" s="5"/>
      <c r="F19" s="5"/>
      <c r="G19" s="6"/>
    </row>
    <row r="20" ht="18" customHeight="1" spans="5:7" x14ac:dyDescent="0.25">
      <c r="E20" s="5"/>
      <c r="F20" s="5"/>
      <c r="G20" s="6"/>
    </row>
    <row r="21" ht="18" customHeight="1" spans="5:7" x14ac:dyDescent="0.25">
      <c r="E21" s="5"/>
      <c r="F21" s="5"/>
      <c r="G21" s="6"/>
    </row>
    <row r="22" ht="18" customHeight="1" spans="5:7" x14ac:dyDescent="0.25">
      <c r="E22" s="5"/>
      <c r="F22" s="5"/>
      <c r="G22" s="6"/>
    </row>
    <row r="23" ht="18" customHeight="1" spans="5:7" x14ac:dyDescent="0.25">
      <c r="E23" s="5"/>
      <c r="F23" s="5"/>
      <c r="G23" s="6"/>
    </row>
    <row r="24" ht="18" customHeight="1" spans="5:7" x14ac:dyDescent="0.25">
      <c r="E24" s="5"/>
      <c r="F24" s="5"/>
      <c r="G24" s="6"/>
    </row>
    <row r="25" ht="18" customHeight="1" spans="5:7" x14ac:dyDescent="0.25">
      <c r="E25" s="5"/>
      <c r="F25" s="5"/>
      <c r="G25" s="6"/>
    </row>
    <row r="26" ht="18" customHeight="1" spans="5:7" x14ac:dyDescent="0.25">
      <c r="E26" s="5"/>
      <c r="F26" s="5"/>
      <c r="G26" s="6"/>
    </row>
    <row r="27" ht="18" customHeight="1" spans="5:7" x14ac:dyDescent="0.25">
      <c r="E27" s="5"/>
      <c r="F27" s="5"/>
      <c r="G27" s="6"/>
    </row>
    <row r="28" ht="18" customHeight="1" spans="5:7" x14ac:dyDescent="0.25">
      <c r="E28" s="5"/>
      <c r="F28" s="5"/>
      <c r="G28" s="6"/>
    </row>
    <row r="29" ht="18" customHeight="1" spans="5:7" x14ac:dyDescent="0.25">
      <c r="E29" s="5"/>
      <c r="F29" s="5"/>
      <c r="G29" s="6"/>
    </row>
    <row r="30" ht="18" customHeight="1" spans="5:7" x14ac:dyDescent="0.25">
      <c r="E30" s="5"/>
      <c r="F30" s="5"/>
      <c r="G30" s="6"/>
    </row>
    <row r="31" ht="18" customHeight="1" spans="5:7" x14ac:dyDescent="0.25">
      <c r="E31" s="5"/>
      <c r="F31" s="5"/>
      <c r="G31" s="6"/>
    </row>
    <row r="32" ht="18" customHeight="1" spans="5:7" x14ac:dyDescent="0.25">
      <c r="E32" s="5"/>
      <c r="F32" s="5"/>
      <c r="G32" s="6"/>
    </row>
    <row r="33" ht="18" customHeight="1" spans="5:7" x14ac:dyDescent="0.25">
      <c r="E33" s="5"/>
      <c r="F33" s="5"/>
      <c r="G33" s="6"/>
    </row>
    <row r="34" ht="18" customHeight="1" spans="5:7" x14ac:dyDescent="0.25">
      <c r="E34" s="5"/>
      <c r="F34" s="5"/>
      <c r="G34" s="6"/>
    </row>
    <row r="35" ht="18" customHeight="1" spans="5:7" x14ac:dyDescent="0.25">
      <c r="E35" s="5"/>
      <c r="F35" s="5"/>
      <c r="G35" s="6"/>
    </row>
    <row r="36" ht="18" customHeight="1" spans="5:7" x14ac:dyDescent="0.25">
      <c r="E36" s="5"/>
      <c r="F36" s="5"/>
      <c r="G36" s="6"/>
    </row>
    <row r="37" ht="18" customHeight="1" spans="5:7" x14ac:dyDescent="0.25">
      <c r="E37" s="5"/>
      <c r="F37" s="5"/>
      <c r="G37" s="6"/>
    </row>
    <row r="38" ht="18" customHeight="1" spans="5:7" x14ac:dyDescent="0.25">
      <c r="E38" s="5"/>
      <c r="F38" s="5"/>
      <c r="G38" s="6"/>
    </row>
    <row r="39" ht="18" customHeight="1" spans="5:7" x14ac:dyDescent="0.25">
      <c r="E39" s="5"/>
      <c r="F39" s="5"/>
      <c r="G39" s="6"/>
    </row>
    <row r="40" ht="18" customHeight="1" spans="5:7" x14ac:dyDescent="0.25">
      <c r="E40" s="5"/>
      <c r="F40" s="5"/>
      <c r="G40" s="6"/>
    </row>
    <row r="41" ht="18" customHeight="1" spans="5:7" x14ac:dyDescent="0.25">
      <c r="E41" s="5"/>
      <c r="F41" s="5"/>
      <c r="G41" s="6"/>
    </row>
    <row r="42" ht="18" customHeight="1" spans="5:7" x14ac:dyDescent="0.25">
      <c r="E42" s="5"/>
      <c r="F42" s="5"/>
      <c r="G42" s="6"/>
    </row>
    <row r="43" ht="18" customHeight="1" spans="5:7" x14ac:dyDescent="0.25">
      <c r="E43" s="5"/>
      <c r="F43" s="5"/>
      <c r="G43" s="6"/>
    </row>
    <row r="44" ht="18" customHeight="1" spans="5:7" x14ac:dyDescent="0.25">
      <c r="E44" s="5"/>
      <c r="F44" s="5"/>
      <c r="G44" s="6"/>
    </row>
    <row r="45" ht="18" customHeight="1" spans="5:7" x14ac:dyDescent="0.25">
      <c r="E45" s="5"/>
      <c r="F45" s="5"/>
      <c r="G45" s="6"/>
    </row>
    <row r="46" ht="18" customHeight="1" spans="5:7" x14ac:dyDescent="0.25">
      <c r="E46" s="5"/>
      <c r="F46" s="5"/>
      <c r="G46" s="6"/>
    </row>
    <row r="47" ht="18" customHeight="1" spans="5:7" x14ac:dyDescent="0.25">
      <c r="E47" s="5"/>
      <c r="F47" s="5"/>
      <c r="G47" s="6"/>
    </row>
    <row r="48" ht="18" customHeight="1" spans="5:7" x14ac:dyDescent="0.25">
      <c r="E48" s="5"/>
      <c r="F48" s="5"/>
      <c r="G48" s="6"/>
    </row>
    <row r="49" ht="18" customHeight="1" spans="5:7" x14ac:dyDescent="0.25">
      <c r="E49" s="5"/>
      <c r="F49" s="5"/>
      <c r="G49" s="6"/>
    </row>
    <row r="50" ht="18" customHeight="1" spans="5:7" x14ac:dyDescent="0.25">
      <c r="E50" s="5"/>
      <c r="F50" s="5"/>
      <c r="G50" s="6"/>
    </row>
    <row r="51" ht="18" customHeight="1" spans="5:7" x14ac:dyDescent="0.25">
      <c r="E51" s="5"/>
      <c r="F51" s="5"/>
      <c r="G51" s="6"/>
    </row>
    <row r="52" ht="18" customHeight="1" spans="5:7" x14ac:dyDescent="0.25">
      <c r="E52" s="5"/>
      <c r="F52" s="5"/>
      <c r="G52" s="6"/>
    </row>
    <row r="53" ht="18" customHeight="1" spans="5:7" x14ac:dyDescent="0.25">
      <c r="E53" s="5"/>
      <c r="F53" s="5"/>
      <c r="G53" s="6"/>
    </row>
    <row r="54" ht="18" customHeight="1" spans="5:7" x14ac:dyDescent="0.25">
      <c r="E54" s="5"/>
      <c r="F54" s="5"/>
      <c r="G54" s="6"/>
    </row>
    <row r="55" ht="18" customHeight="1" spans="5:7" x14ac:dyDescent="0.25">
      <c r="E55" s="5"/>
      <c r="F55" s="5"/>
      <c r="G55" s="6"/>
    </row>
    <row r="56" ht="18" customHeight="1" spans="5:7" x14ac:dyDescent="0.25">
      <c r="E56" s="5"/>
      <c r="F56" s="5"/>
      <c r="G56" s="6"/>
    </row>
    <row r="57" ht="18" customHeight="1" spans="5:7" x14ac:dyDescent="0.25">
      <c r="E57" s="5"/>
      <c r="F57" s="5"/>
      <c r="G57" s="6"/>
    </row>
    <row r="58" ht="18" customHeight="1" spans="5:7" x14ac:dyDescent="0.25">
      <c r="E58" s="5"/>
      <c r="F58" s="5"/>
      <c r="G58" s="6"/>
    </row>
    <row r="59" ht="18" customHeight="1" spans="5:7" x14ac:dyDescent="0.25">
      <c r="E59" s="5"/>
      <c r="F59" s="5"/>
      <c r="G59" s="6"/>
    </row>
    <row r="60" ht="18" customHeight="1" spans="5:7" x14ac:dyDescent="0.25">
      <c r="E60" s="5"/>
      <c r="F60" s="5"/>
      <c r="G60" s="6"/>
    </row>
    <row r="61" ht="18" customHeight="1" spans="5:7" x14ac:dyDescent="0.25">
      <c r="E61" s="5"/>
      <c r="F61" s="5"/>
      <c r="G61" s="6"/>
    </row>
    <row r="62" ht="18" customHeight="1" spans="5:7" x14ac:dyDescent="0.25">
      <c r="E62" s="5"/>
      <c r="F62" s="5"/>
      <c r="G62" s="6"/>
    </row>
    <row r="63" ht="18" customHeight="1" spans="5:7" x14ac:dyDescent="0.25">
      <c r="E63" s="5"/>
      <c r="F63" s="5"/>
      <c r="G63" s="6"/>
    </row>
    <row r="64" ht="18" customHeight="1" spans="5:7" x14ac:dyDescent="0.25">
      <c r="E64" s="5"/>
      <c r="F64" s="5"/>
      <c r="G64" s="6"/>
    </row>
    <row r="65" ht="18" customHeight="1" spans="5:7" x14ac:dyDescent="0.25">
      <c r="E65" s="5"/>
      <c r="F65" s="5"/>
      <c r="G65" s="6"/>
    </row>
    <row r="66" ht="18" customHeight="1" spans="5:7" x14ac:dyDescent="0.25">
      <c r="E66" s="5"/>
      <c r="F66" s="5"/>
      <c r="G66" s="6"/>
    </row>
    <row r="67" ht="18" customHeight="1" spans="5:7" x14ac:dyDescent="0.25">
      <c r="E67" s="5"/>
      <c r="F67" s="5"/>
      <c r="G67" s="6"/>
    </row>
    <row r="68" ht="18" customHeight="1" spans="5:7" x14ac:dyDescent="0.25">
      <c r="E68" s="5"/>
      <c r="F68" s="5"/>
      <c r="G68" s="6"/>
    </row>
    <row r="69" ht="18" customHeight="1" spans="5:7" x14ac:dyDescent="0.25">
      <c r="E69" s="5"/>
      <c r="F69" s="5"/>
      <c r="G69" s="6"/>
    </row>
    <row r="70" ht="18" customHeight="1" spans="5:7" x14ac:dyDescent="0.25">
      <c r="E70" s="5"/>
      <c r="F70" s="5"/>
      <c r="G70" s="6"/>
    </row>
    <row r="71" ht="18" customHeight="1" spans="5:7" x14ac:dyDescent="0.25">
      <c r="E71" s="5"/>
      <c r="F71" s="5"/>
      <c r="G71" s="6"/>
    </row>
    <row r="72" ht="18" customHeight="1" spans="5:7" x14ac:dyDescent="0.25">
      <c r="E72" s="5"/>
      <c r="F72" s="5"/>
      <c r="G72" s="6"/>
    </row>
    <row r="73" ht="18" customHeight="1" spans="5:7" x14ac:dyDescent="0.25">
      <c r="E73" s="5"/>
      <c r="F73" s="5"/>
      <c r="G73" s="6"/>
    </row>
    <row r="74" ht="18" customHeight="1" spans="5:7" x14ac:dyDescent="0.25">
      <c r="E74" s="5"/>
      <c r="F74" s="5"/>
      <c r="G74" s="6"/>
    </row>
    <row r="75" ht="18" customHeight="1" spans="5:7" x14ac:dyDescent="0.25">
      <c r="E75" s="5"/>
      <c r="F75" s="5"/>
      <c r="G75" s="6"/>
    </row>
    <row r="76" ht="18" customHeight="1" spans="5:7" x14ac:dyDescent="0.25">
      <c r="E76" s="5"/>
      <c r="F76" s="5"/>
      <c r="G76" s="6"/>
    </row>
    <row r="77" ht="18" customHeight="1" spans="5:7" x14ac:dyDescent="0.25">
      <c r="E77" s="5"/>
      <c r="F77" s="5"/>
      <c r="G77" s="6"/>
    </row>
    <row r="78" ht="18" customHeight="1" spans="5:7" x14ac:dyDescent="0.25">
      <c r="E78" s="5"/>
      <c r="F78" s="5"/>
      <c r="G78" s="6"/>
    </row>
    <row r="79" ht="18" customHeight="1" spans="5:7" x14ac:dyDescent="0.25">
      <c r="E79" s="5"/>
      <c r="F79" s="5"/>
      <c r="G79" s="6"/>
    </row>
    <row r="80" ht="18" customHeight="1" spans="5:7" x14ac:dyDescent="0.25">
      <c r="E80" s="5"/>
      <c r="F80" s="5"/>
      <c r="G80" s="6"/>
    </row>
    <row r="81" ht="18" customHeight="1" spans="5:7" x14ac:dyDescent="0.25">
      <c r="E81" s="5"/>
      <c r="F81" s="5"/>
      <c r="G81" s="6"/>
    </row>
    <row r="82" ht="18" customHeight="1" spans="5:7" x14ac:dyDescent="0.25">
      <c r="E82" s="5"/>
      <c r="F82" s="5"/>
      <c r="G82" s="6"/>
    </row>
    <row r="83" ht="18" customHeight="1" spans="5:7" x14ac:dyDescent="0.25">
      <c r="E83" s="5"/>
      <c r="F83" s="5"/>
      <c r="G83" s="6"/>
    </row>
    <row r="84" ht="18" customHeight="1" spans="5:7" x14ac:dyDescent="0.25">
      <c r="E84" s="5"/>
      <c r="F84" s="5"/>
      <c r="G84" s="6"/>
    </row>
    <row r="85" ht="18" customHeight="1" spans="5:7" x14ac:dyDescent="0.25">
      <c r="E85" s="5"/>
      <c r="F85" s="5"/>
      <c r="G85" s="6"/>
    </row>
    <row r="86" ht="18" customHeight="1" spans="5:7" x14ac:dyDescent="0.25">
      <c r="E86" s="5"/>
      <c r="F86" s="5"/>
      <c r="G86" s="6"/>
    </row>
    <row r="87" ht="18" customHeight="1" spans="5:7" x14ac:dyDescent="0.25">
      <c r="E87" s="5"/>
      <c r="F87" s="5"/>
      <c r="G87" s="6"/>
    </row>
    <row r="88" ht="18" customHeight="1" spans="5:7" x14ac:dyDescent="0.25">
      <c r="E88" s="5"/>
      <c r="F88" s="5"/>
      <c r="G88" s="6"/>
    </row>
    <row r="89" ht="18" customHeight="1" spans="5:7" x14ac:dyDescent="0.25">
      <c r="E89" s="5"/>
      <c r="F89" s="5"/>
      <c r="G89" s="6"/>
    </row>
    <row r="90" ht="18" customHeight="1" spans="5:7" x14ac:dyDescent="0.25">
      <c r="E90" s="5"/>
      <c r="F90" s="5"/>
      <c r="G90" s="6"/>
    </row>
    <row r="91" ht="18" customHeight="1" spans="5:7" x14ac:dyDescent="0.25">
      <c r="E91" s="5"/>
      <c r="F91" s="5"/>
      <c r="G91" s="6"/>
    </row>
    <row r="92" ht="18" customHeight="1" spans="5:7" x14ac:dyDescent="0.25">
      <c r="E92" s="5"/>
      <c r="F92" s="5"/>
      <c r="G92" s="6"/>
    </row>
    <row r="93" ht="18" customHeight="1" spans="5:7" x14ac:dyDescent="0.25">
      <c r="E93" s="5"/>
      <c r="F93" s="5"/>
      <c r="G93" s="6"/>
    </row>
    <row r="94" ht="18" customHeight="1" spans="5:7" x14ac:dyDescent="0.25">
      <c r="E94" s="5"/>
      <c r="F94" s="5"/>
      <c r="G94" s="6"/>
    </row>
    <row r="95" ht="18" customHeight="1" spans="5:7" x14ac:dyDescent="0.25">
      <c r="E95" s="5"/>
      <c r="F95" s="5"/>
      <c r="G95" s="6"/>
    </row>
    <row r="96" ht="18" customHeight="1" spans="5:7" x14ac:dyDescent="0.25">
      <c r="E96" s="5"/>
      <c r="F96" s="5"/>
      <c r="G96" s="6"/>
    </row>
    <row r="97" ht="18" customHeight="1" spans="5:7" x14ac:dyDescent="0.25">
      <c r="E97" s="5"/>
      <c r="F97" s="5"/>
      <c r="G97" s="6"/>
    </row>
    <row r="98" ht="18" customHeight="1" spans="5:7" x14ac:dyDescent="0.25">
      <c r="E98" s="5"/>
      <c r="F98" s="5"/>
      <c r="G98" s="6"/>
    </row>
    <row r="99" ht="18" customHeight="1" spans="5:7" x14ac:dyDescent="0.25">
      <c r="E99" s="5"/>
      <c r="F99" s="5"/>
      <c r="G99" s="6"/>
    </row>
    <row r="100" ht="18" customHeight="1" spans="5:7" x14ac:dyDescent="0.25">
      <c r="E100" s="5"/>
      <c r="F100" s="5"/>
      <c r="G100" s="6"/>
    </row>
    <row r="101" ht="18" customHeight="1" spans="5:7" x14ac:dyDescent="0.25">
      <c r="E101" s="5"/>
      <c r="F101" s="5"/>
      <c r="G101" s="6"/>
    </row>
    <row r="102" ht="18" customHeight="1" spans="5:7" x14ac:dyDescent="0.25">
      <c r="E102" s="5"/>
      <c r="F102" s="5"/>
      <c r="G102" s="6"/>
    </row>
    <row r="103" ht="18" customHeight="1" spans="5:7" x14ac:dyDescent="0.25">
      <c r="E103" s="5"/>
      <c r="F103" s="5"/>
      <c r="G103" s="6"/>
    </row>
    <row r="104" ht="18" customHeight="1" spans="5:7" x14ac:dyDescent="0.25">
      <c r="E104" s="5"/>
      <c r="F104" s="5"/>
      <c r="G104" s="6"/>
    </row>
    <row r="105" ht="18" customHeight="1" spans="5:7" x14ac:dyDescent="0.25">
      <c r="E105" s="5"/>
      <c r="F105" s="5"/>
      <c r="G105" s="6"/>
    </row>
    <row r="106" ht="18" customHeight="1" spans="5:7" x14ac:dyDescent="0.25">
      <c r="E106" s="5"/>
      <c r="F106" s="5"/>
      <c r="G106" s="6"/>
    </row>
    <row r="107" ht="18" customHeight="1" spans="5:7" x14ac:dyDescent="0.25">
      <c r="E107" s="5"/>
      <c r="F107" s="5"/>
      <c r="G107" s="6"/>
    </row>
    <row r="108" ht="18" customHeight="1" spans="5:7" x14ac:dyDescent="0.25">
      <c r="E108" s="5"/>
      <c r="F108" s="5"/>
      <c r="G108" s="6"/>
    </row>
    <row r="109" ht="18" customHeight="1" spans="5:7" x14ac:dyDescent="0.25">
      <c r="E109" s="5"/>
      <c r="F109" s="5"/>
      <c r="G109" s="6"/>
    </row>
    <row r="110" ht="18" customHeight="1" spans="5:7" x14ac:dyDescent="0.25">
      <c r="E110" s="5"/>
      <c r="F110" s="5"/>
      <c r="G110" s="6"/>
    </row>
    <row r="111" ht="18" customHeight="1" spans="5:7" x14ac:dyDescent="0.25">
      <c r="E111" s="5"/>
      <c r="F111" s="5"/>
      <c r="G111" s="6"/>
    </row>
    <row r="112" ht="18" customHeight="1" spans="5:7" x14ac:dyDescent="0.25">
      <c r="E112" s="5"/>
      <c r="F112" s="5"/>
      <c r="G112" s="6"/>
    </row>
    <row r="113" ht="18" customHeight="1" spans="5:7" x14ac:dyDescent="0.25">
      <c r="E113" s="5"/>
      <c r="F113" s="5"/>
      <c r="G113" s="6"/>
    </row>
    <row r="114" ht="18" customHeight="1" spans="5:7" x14ac:dyDescent="0.25">
      <c r="E114" s="5"/>
      <c r="F114" s="5"/>
      <c r="G114" s="6"/>
    </row>
    <row r="115" ht="18" customHeight="1" spans="5:7" x14ac:dyDescent="0.25">
      <c r="E115" s="5"/>
      <c r="F115" s="5"/>
      <c r="G115" s="6"/>
    </row>
    <row r="116" ht="18" customHeight="1" spans="5:7" x14ac:dyDescent="0.25">
      <c r="E116" s="5"/>
      <c r="F116" s="5"/>
      <c r="G116" s="6"/>
    </row>
    <row r="117" ht="18" customHeight="1" spans="5:7" x14ac:dyDescent="0.25">
      <c r="E117" s="5"/>
      <c r="F117" s="5"/>
      <c r="G117" s="6"/>
    </row>
    <row r="118" ht="18" customHeight="1" spans="5:7" x14ac:dyDescent="0.25">
      <c r="E118" s="5"/>
      <c r="F118" s="5"/>
      <c r="G118" s="6"/>
    </row>
    <row r="119" ht="18" customHeight="1" spans="5:7" x14ac:dyDescent="0.25">
      <c r="E119" s="5"/>
      <c r="F119" s="5"/>
      <c r="G119" s="6"/>
    </row>
    <row r="120" ht="18" customHeight="1" spans="5:7" x14ac:dyDescent="0.25">
      <c r="E120" s="5"/>
      <c r="F120" s="5"/>
      <c r="G120" s="6"/>
    </row>
    <row r="121" ht="18" customHeight="1" spans="5:7" x14ac:dyDescent="0.25">
      <c r="E121" s="5"/>
      <c r="F121" s="5"/>
      <c r="G121" s="6"/>
    </row>
    <row r="122" ht="18" customHeight="1" spans="5:7" x14ac:dyDescent="0.25">
      <c r="E122" s="5"/>
      <c r="F122" s="5"/>
      <c r="G122" s="6"/>
    </row>
    <row r="123" ht="18" customHeight="1" spans="5:7" x14ac:dyDescent="0.25">
      <c r="E123" s="5"/>
      <c r="F123" s="5"/>
      <c r="G123" s="6"/>
    </row>
    <row r="124" ht="18" customHeight="1" spans="5:7" x14ac:dyDescent="0.25">
      <c r="E124" s="5"/>
      <c r="F124" s="5"/>
      <c r="G124" s="6"/>
    </row>
    <row r="125" ht="18" customHeight="1" spans="5:7" x14ac:dyDescent="0.25">
      <c r="E125" s="5"/>
      <c r="F125" s="5"/>
      <c r="G125" s="6"/>
    </row>
    <row r="126" ht="18" customHeight="1" spans="5:7" x14ac:dyDescent="0.25">
      <c r="E126" s="5"/>
      <c r="F126" s="5"/>
      <c r="G126" s="6"/>
    </row>
    <row r="127" ht="18" customHeight="1" spans="5:7" x14ac:dyDescent="0.25">
      <c r="E127" s="5"/>
      <c r="F127" s="5"/>
      <c r="G127" s="6"/>
    </row>
    <row r="128" ht="18" customHeight="1" spans="5:7" x14ac:dyDescent="0.25">
      <c r="E128" s="5"/>
      <c r="F128" s="5"/>
      <c r="G128" s="6"/>
    </row>
    <row r="129" ht="18" customHeight="1" spans="5:7" x14ac:dyDescent="0.25">
      <c r="E129" s="5"/>
      <c r="F129" s="5"/>
      <c r="G129" s="6"/>
    </row>
    <row r="130" ht="18" customHeight="1" spans="5:7" x14ac:dyDescent="0.25">
      <c r="E130" s="5"/>
      <c r="F130" s="5"/>
      <c r="G130" s="6"/>
    </row>
    <row r="131" ht="18" customHeight="1" spans="5:7" x14ac:dyDescent="0.25">
      <c r="E131" s="5"/>
      <c r="F131" s="5"/>
      <c r="G131" s="6"/>
    </row>
    <row r="132" ht="18" customHeight="1" spans="5:7" x14ac:dyDescent="0.25">
      <c r="E132" s="5"/>
      <c r="F132" s="5"/>
      <c r="G132" s="6"/>
    </row>
    <row r="133" ht="18" customHeight="1" spans="5:7" x14ac:dyDescent="0.25">
      <c r="E133" s="5"/>
      <c r="F133" s="5"/>
      <c r="G133" s="6"/>
    </row>
    <row r="134" ht="18" customHeight="1" spans="5:7" x14ac:dyDescent="0.25">
      <c r="E134" s="5"/>
      <c r="F134" s="5"/>
      <c r="G134" s="6"/>
    </row>
    <row r="135" ht="18" customHeight="1" spans="5:7" x14ac:dyDescent="0.25">
      <c r="E135" s="5"/>
      <c r="F135" s="5"/>
      <c r="G135" s="6"/>
    </row>
    <row r="136" ht="18" customHeight="1" spans="5:7" x14ac:dyDescent="0.25">
      <c r="E136" s="5"/>
      <c r="F136" s="5"/>
      <c r="G136" s="6"/>
    </row>
    <row r="137" ht="18" customHeight="1" spans="5:7" x14ac:dyDescent="0.25">
      <c r="E137" s="5"/>
      <c r="F137" s="5"/>
      <c r="G137" s="6"/>
    </row>
    <row r="138" ht="18" customHeight="1" spans="5:7" x14ac:dyDescent="0.25">
      <c r="E138" s="5"/>
      <c r="F138" s="5"/>
      <c r="G138" s="6"/>
    </row>
    <row r="139" ht="18" customHeight="1" spans="5:7" x14ac:dyDescent="0.25">
      <c r="E139" s="5"/>
      <c r="F139" s="5"/>
      <c r="G139" s="6"/>
    </row>
    <row r="140" ht="18" customHeight="1" spans="5:7" x14ac:dyDescent="0.25">
      <c r="E140" s="5"/>
      <c r="F140" s="5"/>
      <c r="G140" s="6"/>
    </row>
    <row r="141" ht="18" customHeight="1" spans="5:7" x14ac:dyDescent="0.25">
      <c r="E141" s="5"/>
      <c r="F141" s="5"/>
      <c r="G141" s="6"/>
    </row>
    <row r="142" ht="18" customHeight="1" spans="5:7" x14ac:dyDescent="0.25">
      <c r="E142" s="5"/>
      <c r="F142" s="5"/>
      <c r="G142" s="6"/>
    </row>
    <row r="143" ht="18" customHeight="1" spans="5:7" x14ac:dyDescent="0.25">
      <c r="E143" s="5"/>
      <c r="F143" s="5"/>
      <c r="G143" s="6"/>
    </row>
    <row r="144" ht="18" customHeight="1" spans="5:7" x14ac:dyDescent="0.25">
      <c r="E144" s="5"/>
      <c r="F144" s="5"/>
      <c r="G144" s="6"/>
    </row>
    <row r="145" ht="18" customHeight="1" spans="5:7" x14ac:dyDescent="0.25">
      <c r="E145" s="5"/>
      <c r="F145" s="5"/>
      <c r="G145" s="6"/>
    </row>
    <row r="146" ht="18" customHeight="1" spans="5:7" x14ac:dyDescent="0.25">
      <c r="E146" s="5"/>
      <c r="F146" s="5"/>
      <c r="G146" s="6"/>
    </row>
    <row r="147" ht="18" customHeight="1" spans="5:7" x14ac:dyDescent="0.25">
      <c r="E147" s="5"/>
      <c r="F147" s="5"/>
      <c r="G147" s="6"/>
    </row>
    <row r="148" ht="18" customHeight="1" spans="5:7" x14ac:dyDescent="0.25">
      <c r="E148" s="5"/>
      <c r="F148" s="5"/>
      <c r="G148" s="6"/>
    </row>
    <row r="149" ht="18" customHeight="1" spans="5:7" x14ac:dyDescent="0.25">
      <c r="E149" s="5"/>
      <c r="F149" s="5"/>
      <c r="G149" s="6"/>
    </row>
    <row r="150" ht="18" customHeight="1" spans="5:7" x14ac:dyDescent="0.25">
      <c r="E150" s="5"/>
      <c r="F150" s="5"/>
      <c r="G150" s="6"/>
    </row>
    <row r="151" ht="18" customHeight="1" spans="5:7" x14ac:dyDescent="0.25">
      <c r="E151" s="5"/>
      <c r="F151" s="5"/>
      <c r="G151" s="6"/>
    </row>
    <row r="152" ht="18" customHeight="1" spans="5:7" x14ac:dyDescent="0.25">
      <c r="E152" s="5"/>
      <c r="F152" s="5"/>
      <c r="G152" s="6"/>
    </row>
    <row r="153" ht="18" customHeight="1" spans="5:7" x14ac:dyDescent="0.25">
      <c r="E153" s="5"/>
      <c r="F153" s="5"/>
      <c r="G153" s="6"/>
    </row>
    <row r="154" ht="18" customHeight="1" spans="5:7" x14ac:dyDescent="0.25">
      <c r="E154" s="5"/>
      <c r="F154" s="5"/>
      <c r="G154" s="6"/>
    </row>
    <row r="155" ht="18" customHeight="1" spans="5:7" x14ac:dyDescent="0.25">
      <c r="E155" s="5"/>
      <c r="F155" s="5"/>
      <c r="G155" s="6"/>
    </row>
    <row r="156" ht="18" customHeight="1" spans="5:7" x14ac:dyDescent="0.25">
      <c r="E156" s="5"/>
      <c r="F156" s="5"/>
      <c r="G156" s="6"/>
    </row>
    <row r="157" ht="18" customHeight="1" spans="5:7" x14ac:dyDescent="0.25">
      <c r="E157" s="5"/>
      <c r="F157" s="5"/>
      <c r="G157" s="6"/>
    </row>
    <row r="158" ht="18" customHeight="1" spans="5:7" x14ac:dyDescent="0.25">
      <c r="E158" s="5"/>
      <c r="F158" s="5"/>
      <c r="G158" s="6"/>
    </row>
    <row r="159" ht="18" customHeight="1" spans="5:7" x14ac:dyDescent="0.25">
      <c r="E159" s="5"/>
      <c r="F159" s="5"/>
      <c r="G159" s="6"/>
    </row>
    <row r="160" ht="18" customHeight="1" spans="5:7" x14ac:dyDescent="0.25">
      <c r="E160" s="5"/>
      <c r="F160" s="5"/>
      <c r="G160" s="6"/>
    </row>
    <row r="161" ht="18" customHeight="1" spans="5:7" x14ac:dyDescent="0.25">
      <c r="E161" s="5"/>
      <c r="F161" s="5"/>
      <c r="G161" s="6"/>
    </row>
    <row r="162" ht="18" customHeight="1" spans="5:7" x14ac:dyDescent="0.25">
      <c r="E162" s="5"/>
      <c r="F162" s="5"/>
      <c r="G162" s="6"/>
    </row>
    <row r="163" ht="18" customHeight="1" spans="5:7" x14ac:dyDescent="0.25">
      <c r="E163" s="5"/>
      <c r="F163" s="5"/>
      <c r="G163" s="6"/>
    </row>
    <row r="164" ht="18" customHeight="1" spans="5:7" x14ac:dyDescent="0.25">
      <c r="E164" s="5"/>
      <c r="F164" s="5"/>
      <c r="G164" s="6"/>
    </row>
    <row r="165" ht="18" customHeight="1" spans="5:7" x14ac:dyDescent="0.25">
      <c r="E165" s="5"/>
      <c r="F165" s="5"/>
      <c r="G165" s="6"/>
    </row>
    <row r="166" ht="18" customHeight="1" spans="5:7" x14ac:dyDescent="0.25">
      <c r="E166" s="5"/>
      <c r="F166" s="5"/>
      <c r="G166" s="6"/>
    </row>
    <row r="167" ht="18" customHeight="1" spans="5:7" x14ac:dyDescent="0.25">
      <c r="E167" s="5"/>
      <c r="F167" s="5"/>
      <c r="G167" s="6"/>
    </row>
    <row r="168" ht="18" customHeight="1" spans="5:7" x14ac:dyDescent="0.25">
      <c r="E168" s="5"/>
      <c r="F168" s="5"/>
      <c r="G168" s="6"/>
    </row>
    <row r="169" ht="18" customHeight="1" spans="5:7" x14ac:dyDescent="0.25">
      <c r="E169" s="5"/>
      <c r="F169" s="5"/>
      <c r="G169" s="6"/>
    </row>
    <row r="170" ht="18" customHeight="1" spans="5:7" x14ac:dyDescent="0.25">
      <c r="E170" s="5"/>
      <c r="F170" s="5"/>
      <c r="G170" s="6"/>
    </row>
    <row r="171" ht="18" customHeight="1" spans="5:7" x14ac:dyDescent="0.25">
      <c r="E171" s="5"/>
      <c r="F171" s="5"/>
      <c r="G171" s="6"/>
    </row>
    <row r="172" ht="18" customHeight="1" spans="5:7" x14ac:dyDescent="0.25">
      <c r="E172" s="5"/>
      <c r="F172" s="5"/>
      <c r="G172" s="6"/>
    </row>
    <row r="173" ht="18" customHeight="1" spans="5:7" x14ac:dyDescent="0.25">
      <c r="E173" s="5"/>
      <c r="F173" s="5"/>
      <c r="G173" s="6"/>
    </row>
    <row r="174" ht="18" customHeight="1" spans="5:7" x14ac:dyDescent="0.25">
      <c r="E174" s="5"/>
      <c r="F174" s="5"/>
      <c r="G174" s="6"/>
    </row>
    <row r="175" ht="18" customHeight="1" spans="5:7" x14ac:dyDescent="0.25">
      <c r="E175" s="5"/>
      <c r="F175" s="5"/>
      <c r="G175" s="6"/>
    </row>
    <row r="176" ht="18" customHeight="1" spans="5:7" x14ac:dyDescent="0.25">
      <c r="E176" s="5"/>
      <c r="F176" s="5"/>
      <c r="G176" s="6"/>
    </row>
    <row r="177" ht="18" customHeight="1" spans="5:7" x14ac:dyDescent="0.25">
      <c r="E177" s="5"/>
      <c r="F177" s="5"/>
      <c r="G177" s="6"/>
    </row>
    <row r="178" ht="18" customHeight="1" spans="5:7" x14ac:dyDescent="0.25">
      <c r="E178" s="5"/>
      <c r="F178" s="5"/>
      <c r="G178" s="6"/>
    </row>
    <row r="179" ht="18" customHeight="1" spans="5:7" x14ac:dyDescent="0.25">
      <c r="E179" s="5"/>
      <c r="F179" s="5"/>
      <c r="G179" s="6"/>
    </row>
    <row r="180" ht="18" customHeight="1" spans="5:7" x14ac:dyDescent="0.25">
      <c r="E180" s="5"/>
      <c r="F180" s="5"/>
      <c r="G180" s="6"/>
    </row>
    <row r="181" ht="18" customHeight="1" spans="5:7" x14ac:dyDescent="0.25">
      <c r="E181" s="5"/>
      <c r="F181" s="5"/>
      <c r="G181" s="6"/>
    </row>
    <row r="182" ht="18" customHeight="1" spans="5:7" x14ac:dyDescent="0.25">
      <c r="E182" s="5"/>
      <c r="F182" s="5"/>
      <c r="G182" s="6"/>
    </row>
    <row r="183" ht="18" customHeight="1" spans="5:7" x14ac:dyDescent="0.25">
      <c r="E183" s="5"/>
      <c r="F183" s="5"/>
      <c r="G183" s="6"/>
    </row>
    <row r="184" ht="18" customHeight="1" spans="5:7" x14ac:dyDescent="0.25">
      <c r="E184" s="5"/>
      <c r="F184" s="5"/>
      <c r="G184" s="6"/>
    </row>
    <row r="185" ht="18" customHeight="1" spans="5:7" x14ac:dyDescent="0.25">
      <c r="E185" s="5"/>
      <c r="F185" s="5"/>
      <c r="G185" s="6"/>
    </row>
    <row r="186" ht="18" customHeight="1" spans="5:7" x14ac:dyDescent="0.25">
      <c r="E186" s="5"/>
      <c r="F186" s="5"/>
      <c r="G186" s="6"/>
    </row>
    <row r="187" ht="18" customHeight="1" spans="5:7" x14ac:dyDescent="0.25">
      <c r="E187" s="5"/>
      <c r="F187" s="5"/>
      <c r="G187" s="6"/>
    </row>
    <row r="188" ht="18" customHeight="1" spans="5:7" x14ac:dyDescent="0.25">
      <c r="E188" s="5"/>
      <c r="F188" s="5"/>
      <c r="G188" s="6"/>
    </row>
    <row r="189" ht="18" customHeight="1" spans="5:7" x14ac:dyDescent="0.25">
      <c r="E189" s="5"/>
      <c r="F189" s="5"/>
      <c r="G189" s="6"/>
    </row>
    <row r="190" ht="18" customHeight="1" spans="5:7" x14ac:dyDescent="0.25">
      <c r="E190" s="5"/>
      <c r="F190" s="5"/>
      <c r="G190" s="6"/>
    </row>
    <row r="191" ht="18" customHeight="1" spans="5:7" x14ac:dyDescent="0.25">
      <c r="E191" s="5"/>
      <c r="F191" s="5"/>
      <c r="G191" s="6"/>
    </row>
    <row r="192" ht="18" customHeight="1" spans="5:7" x14ac:dyDescent="0.25">
      <c r="E192" s="5"/>
      <c r="F192" s="5"/>
      <c r="G192" s="6"/>
    </row>
    <row r="193" ht="18" customHeight="1" spans="5:7" x14ac:dyDescent="0.25">
      <c r="E193" s="5"/>
      <c r="F193" s="5"/>
      <c r="G193" s="6"/>
    </row>
    <row r="194" ht="18" customHeight="1" spans="5:7" x14ac:dyDescent="0.25">
      <c r="E194" s="5"/>
      <c r="F194" s="5"/>
      <c r="G194" s="6"/>
    </row>
    <row r="195" ht="18" customHeight="1" spans="5:7" x14ac:dyDescent="0.25">
      <c r="E195" s="5"/>
      <c r="F195" s="5"/>
      <c r="G195" s="6"/>
    </row>
    <row r="196" ht="18" customHeight="1" spans="5:7" x14ac:dyDescent="0.25">
      <c r="E196" s="5"/>
      <c r="F196" s="5"/>
      <c r="G196" s="6"/>
    </row>
    <row r="197" ht="18" customHeight="1" spans="5:7" x14ac:dyDescent="0.25">
      <c r="E197" s="5"/>
      <c r="F197" s="5"/>
      <c r="G197" s="6"/>
    </row>
    <row r="198" ht="18" customHeight="1" spans="5:7" x14ac:dyDescent="0.25">
      <c r="E198" s="5"/>
      <c r="F198" s="5"/>
      <c r="G198" s="6"/>
    </row>
    <row r="199" ht="18" customHeight="1" spans="5:7" x14ac:dyDescent="0.25">
      <c r="E199" s="5"/>
      <c r="F199" s="5"/>
      <c r="G199" s="6"/>
    </row>
    <row r="200" ht="18" customHeight="1" spans="5:7" x14ac:dyDescent="0.25">
      <c r="E200" s="5"/>
      <c r="F200" s="5"/>
      <c r="G200" s="6"/>
    </row>
    <row r="201" ht="18" customHeight="1" spans="5:7" x14ac:dyDescent="0.25">
      <c r="E201" s="5"/>
      <c r="F201" s="5"/>
      <c r="G201" s="6"/>
    </row>
    <row r="202" ht="18" customHeight="1" spans="5:7" x14ac:dyDescent="0.25">
      <c r="E202" s="5"/>
      <c r="F202" s="5"/>
      <c r="G202" s="6"/>
    </row>
    <row r="203" ht="18" customHeight="1" spans="5:7" x14ac:dyDescent="0.25">
      <c r="E203" s="5"/>
      <c r="F203" s="5"/>
      <c r="G203" s="6"/>
    </row>
    <row r="204" ht="18" customHeight="1" spans="5:7" x14ac:dyDescent="0.25">
      <c r="E204" s="5"/>
      <c r="F204" s="5"/>
      <c r="G204" s="6"/>
    </row>
    <row r="205" ht="18" customHeight="1" spans="5:7" x14ac:dyDescent="0.25">
      <c r="E205" s="5"/>
      <c r="F205" s="5"/>
      <c r="G205" s="6"/>
    </row>
    <row r="206" ht="18" customHeight="1" spans="5:7" x14ac:dyDescent="0.25">
      <c r="E206" s="5"/>
      <c r="F206" s="5"/>
      <c r="G206" s="6"/>
    </row>
    <row r="207" ht="18" customHeight="1" spans="5:7" x14ac:dyDescent="0.25">
      <c r="E207" s="5"/>
      <c r="F207" s="5"/>
      <c r="G207" s="6"/>
    </row>
    <row r="208" ht="18" customHeight="1" spans="5:7" x14ac:dyDescent="0.25">
      <c r="E208" s="5"/>
      <c r="F208" s="5"/>
      <c r="G208" s="6"/>
    </row>
    <row r="209" ht="18" customHeight="1" spans="5:7" x14ac:dyDescent="0.25">
      <c r="E209" s="5"/>
      <c r="F209" s="5"/>
      <c r="G209" s="6"/>
    </row>
    <row r="210" ht="18" customHeight="1" spans="5:7" x14ac:dyDescent="0.25">
      <c r="E210" s="5"/>
      <c r="F210" s="5"/>
      <c r="G210" s="6"/>
    </row>
    <row r="211" ht="18" customHeight="1" spans="5:7" x14ac:dyDescent="0.25">
      <c r="E211" s="5"/>
      <c r="F211" s="5"/>
      <c r="G211" s="6"/>
    </row>
    <row r="212" ht="18" customHeight="1" spans="5:7" x14ac:dyDescent="0.25">
      <c r="E212" s="5"/>
      <c r="F212" s="5"/>
      <c r="G212" s="6"/>
    </row>
    <row r="213" ht="18" customHeight="1" spans="5:7" x14ac:dyDescent="0.25">
      <c r="E213" s="5"/>
      <c r="F213" s="5"/>
      <c r="G213" s="6"/>
    </row>
    <row r="214" ht="18" customHeight="1" spans="5:7" x14ac:dyDescent="0.25">
      <c r="E214" s="5"/>
      <c r="F214" s="5"/>
      <c r="G214" s="6"/>
    </row>
    <row r="215" ht="18" customHeight="1" spans="5:7" x14ac:dyDescent="0.25">
      <c r="E215" s="5"/>
      <c r="F215" s="5"/>
      <c r="G215" s="6"/>
    </row>
    <row r="216" ht="18" customHeight="1" spans="5:7" x14ac:dyDescent="0.25">
      <c r="E216" s="5"/>
      <c r="F216" s="5"/>
      <c r="G216" s="6"/>
    </row>
    <row r="217" ht="18" customHeight="1" spans="5:7" x14ac:dyDescent="0.25">
      <c r="E217" s="5"/>
      <c r="F217" s="5"/>
      <c r="G217" s="6"/>
    </row>
    <row r="218" ht="18" customHeight="1" spans="5:7" x14ac:dyDescent="0.25">
      <c r="E218" s="5"/>
      <c r="F218" s="5"/>
      <c r="G218" s="6"/>
    </row>
    <row r="219" ht="18" customHeight="1" spans="5:7" x14ac:dyDescent="0.25">
      <c r="E219" s="5"/>
      <c r="F219" s="5"/>
      <c r="G219" s="6"/>
    </row>
    <row r="220" ht="18" customHeight="1" spans="5:7" x14ac:dyDescent="0.25">
      <c r="E220" s="5"/>
      <c r="F220" s="5"/>
      <c r="G220" s="6"/>
    </row>
    <row r="221" ht="18" customHeight="1" spans="5:7" x14ac:dyDescent="0.25">
      <c r="E221" s="5"/>
      <c r="F221" s="5"/>
      <c r="G221" s="6"/>
    </row>
    <row r="222" ht="18" customHeight="1" spans="5:7" x14ac:dyDescent="0.25">
      <c r="E222" s="5"/>
      <c r="F222" s="5"/>
      <c r="G222" s="6"/>
    </row>
    <row r="223" ht="18" customHeight="1" spans="5:7" x14ac:dyDescent="0.25">
      <c r="E223" s="5"/>
      <c r="F223" s="5"/>
      <c r="G223" s="6"/>
    </row>
    <row r="224" ht="18" customHeight="1" spans="5:7" x14ac:dyDescent="0.25">
      <c r="E224" s="5"/>
      <c r="F224" s="5"/>
      <c r="G224" s="6"/>
    </row>
    <row r="225" ht="18" customHeight="1" spans="5:7" x14ac:dyDescent="0.25">
      <c r="E225" s="5"/>
      <c r="F225" s="5"/>
      <c r="G225" s="6"/>
    </row>
    <row r="226" ht="18" customHeight="1" spans="5:7" x14ac:dyDescent="0.25">
      <c r="E226" s="5"/>
      <c r="F226" s="5"/>
      <c r="G226" s="6"/>
    </row>
    <row r="227" ht="18" customHeight="1" spans="5:7" x14ac:dyDescent="0.25">
      <c r="E227" s="5"/>
      <c r="F227" s="5"/>
      <c r="G227" s="6"/>
    </row>
    <row r="228" ht="18" customHeight="1" spans="5:7" x14ac:dyDescent="0.25">
      <c r="E228" s="5"/>
      <c r="F228" s="5"/>
      <c r="G228" s="6"/>
    </row>
    <row r="229" ht="18" customHeight="1" spans="5:7" x14ac:dyDescent="0.25">
      <c r="E229" s="5"/>
      <c r="F229" s="5"/>
      <c r="G229" s="6"/>
    </row>
    <row r="230" ht="18" customHeight="1" spans="5:7" x14ac:dyDescent="0.25">
      <c r="E230" s="5"/>
      <c r="F230" s="5"/>
      <c r="G230" s="6"/>
    </row>
    <row r="231" ht="18" customHeight="1" spans="5:7" x14ac:dyDescent="0.25">
      <c r="E231" s="5"/>
      <c r="F231" s="5"/>
      <c r="G231" s="6"/>
    </row>
    <row r="232" ht="18" customHeight="1" spans="5:7" x14ac:dyDescent="0.25">
      <c r="E232" s="5"/>
      <c r="F232" s="5"/>
      <c r="G232" s="6"/>
    </row>
    <row r="233" ht="18" customHeight="1" spans="5:7" x14ac:dyDescent="0.25">
      <c r="E233" s="5"/>
      <c r="F233" s="5"/>
      <c r="G233" s="6"/>
    </row>
    <row r="234" ht="18" customHeight="1" spans="5:7" x14ac:dyDescent="0.25">
      <c r="E234" s="5"/>
      <c r="F234" s="5"/>
      <c r="G234" s="6"/>
    </row>
    <row r="235" ht="18" customHeight="1" spans="5:7" x14ac:dyDescent="0.25">
      <c r="E235" s="5"/>
      <c r="F235" s="5"/>
      <c r="G235" s="6"/>
    </row>
    <row r="236" ht="18" customHeight="1" spans="5:7" x14ac:dyDescent="0.25">
      <c r="E236" s="5"/>
      <c r="F236" s="5"/>
      <c r="G236" s="6"/>
    </row>
    <row r="237" ht="18" customHeight="1" spans="5:7" x14ac:dyDescent="0.25">
      <c r="E237" s="5"/>
      <c r="F237" s="5"/>
      <c r="G237" s="6"/>
    </row>
    <row r="238" ht="18" customHeight="1" spans="5:7" x14ac:dyDescent="0.25">
      <c r="E238" s="5"/>
      <c r="F238" s="5"/>
      <c r="G238" s="6"/>
    </row>
    <row r="239" ht="18" customHeight="1" spans="5:7" x14ac:dyDescent="0.25">
      <c r="E239" s="5"/>
      <c r="F239" s="5"/>
      <c r="G239" s="6"/>
    </row>
    <row r="240" ht="18" customHeight="1" spans="5:7" x14ac:dyDescent="0.25">
      <c r="E240" s="5"/>
      <c r="F240" s="5"/>
      <c r="G240" s="6"/>
    </row>
    <row r="241" ht="18" customHeight="1" spans="5:7" x14ac:dyDescent="0.25">
      <c r="E241" s="5"/>
      <c r="F241" s="5"/>
      <c r="G241" s="6"/>
    </row>
    <row r="242" ht="18" customHeight="1" spans="5:7" x14ac:dyDescent="0.25">
      <c r="E242" s="5"/>
      <c r="F242" s="5"/>
      <c r="G242" s="6"/>
    </row>
    <row r="243" ht="18" customHeight="1" spans="5:7" x14ac:dyDescent="0.25">
      <c r="E243" s="5"/>
      <c r="F243" s="5"/>
      <c r="G243" s="6"/>
    </row>
    <row r="244" ht="18" customHeight="1" spans="5:7" x14ac:dyDescent="0.25">
      <c r="E244" s="5"/>
      <c r="F244" s="5"/>
      <c r="G244" s="6"/>
    </row>
    <row r="245" ht="18" customHeight="1" spans="5:7" x14ac:dyDescent="0.25">
      <c r="E245" s="5"/>
      <c r="F245" s="5"/>
      <c r="G245" s="6"/>
    </row>
    <row r="246" ht="18" customHeight="1" spans="5:7" x14ac:dyDescent="0.25">
      <c r="E246" s="5"/>
      <c r="F246" s="5"/>
      <c r="G246" s="6"/>
    </row>
    <row r="247" ht="18" customHeight="1" spans="5:7" x14ac:dyDescent="0.25">
      <c r="E247" s="5"/>
      <c r="F247" s="5"/>
      <c r="G247" s="6"/>
    </row>
    <row r="248" ht="18" customHeight="1" spans="5:7" x14ac:dyDescent="0.25">
      <c r="E248" s="5"/>
      <c r="F248" s="5"/>
      <c r="G248" s="6"/>
    </row>
    <row r="249" ht="18" customHeight="1" spans="5:7" x14ac:dyDescent="0.25">
      <c r="E249" s="5"/>
      <c r="F249" s="5"/>
      <c r="G249" s="6"/>
    </row>
    <row r="250" ht="18" customHeight="1" spans="5:7" x14ac:dyDescent="0.25">
      <c r="E250" s="5"/>
      <c r="F250" s="5"/>
      <c r="G250" s="6"/>
    </row>
    <row r="251" ht="18" customHeight="1" spans="5:7" x14ac:dyDescent="0.25">
      <c r="E251" s="5"/>
      <c r="F251" s="5"/>
      <c r="G251" s="6"/>
    </row>
    <row r="252" ht="18" customHeight="1" spans="5:7" x14ac:dyDescent="0.25">
      <c r="E252" s="5"/>
      <c r="F252" s="5"/>
      <c r="G252" s="6"/>
    </row>
    <row r="253" ht="18" customHeight="1" spans="5:7" x14ac:dyDescent="0.25">
      <c r="E253" s="5"/>
      <c r="F253" s="5"/>
      <c r="G253" s="6"/>
    </row>
    <row r="254" ht="18" customHeight="1" spans="5:7" x14ac:dyDescent="0.25">
      <c r="E254" s="5"/>
      <c r="F254" s="5"/>
      <c r="G254" s="6"/>
    </row>
    <row r="255" ht="18" customHeight="1" spans="5:7" x14ac:dyDescent="0.25">
      <c r="E255" s="5"/>
      <c r="F255" s="5"/>
      <c r="G255" s="6"/>
    </row>
    <row r="256" ht="18" customHeight="1" spans="5:7" x14ac:dyDescent="0.25">
      <c r="E256" s="5"/>
      <c r="F256" s="5"/>
      <c r="G256" s="6"/>
    </row>
    <row r="257" ht="18" customHeight="1" spans="5:7" x14ac:dyDescent="0.25">
      <c r="E257" s="5"/>
      <c r="F257" s="5"/>
      <c r="G257" s="6"/>
    </row>
    <row r="258" ht="18" customHeight="1" spans="5:7" x14ac:dyDescent="0.25">
      <c r="E258" s="5"/>
      <c r="F258" s="5"/>
      <c r="G258" s="6"/>
    </row>
    <row r="259" ht="18" customHeight="1" spans="5:7" x14ac:dyDescent="0.25">
      <c r="E259" s="5"/>
      <c r="F259" s="5"/>
      <c r="G259" s="6"/>
    </row>
    <row r="260" ht="18" customHeight="1" spans="5:7" x14ac:dyDescent="0.25">
      <c r="E260" s="5"/>
      <c r="F260" s="5"/>
      <c r="G260" s="6"/>
    </row>
    <row r="261" ht="18" customHeight="1" spans="5:7" x14ac:dyDescent="0.25">
      <c r="E261" s="5"/>
      <c r="F261" s="5"/>
      <c r="G261" s="6"/>
    </row>
    <row r="262" ht="18" customHeight="1" spans="5:7" x14ac:dyDescent="0.25">
      <c r="E262" s="5"/>
      <c r="F262" s="5"/>
      <c r="G262" s="6"/>
    </row>
    <row r="263" ht="18" customHeight="1" spans="5:7" x14ac:dyDescent="0.25">
      <c r="E263" s="5"/>
      <c r="F263" s="5"/>
      <c r="G263" s="6"/>
    </row>
    <row r="264" ht="18" customHeight="1" spans="5:7" x14ac:dyDescent="0.25">
      <c r="E264" s="5"/>
      <c r="F264" s="5"/>
      <c r="G264" s="6"/>
    </row>
    <row r="265" ht="18" customHeight="1" spans="5:7" x14ac:dyDescent="0.25">
      <c r="E265" s="5"/>
      <c r="F265" s="5"/>
      <c r="G265" s="6"/>
    </row>
    <row r="266" ht="18" customHeight="1" spans="5:7" x14ac:dyDescent="0.25">
      <c r="E266" s="5"/>
      <c r="F266" s="5"/>
      <c r="G266" s="6"/>
    </row>
    <row r="267" ht="18" customHeight="1" spans="5:7" x14ac:dyDescent="0.25">
      <c r="E267" s="5"/>
      <c r="F267" s="5"/>
      <c r="G267" s="6"/>
    </row>
    <row r="268" ht="18" customHeight="1" spans="5:7" x14ac:dyDescent="0.25">
      <c r="E268" s="5"/>
      <c r="F268" s="5"/>
      <c r="G268" s="6"/>
    </row>
    <row r="269" ht="18" customHeight="1" spans="5:7" x14ac:dyDescent="0.25">
      <c r="E269" s="5"/>
      <c r="F269" s="5"/>
      <c r="G269" s="6"/>
    </row>
    <row r="270" ht="18" customHeight="1" spans="5:7" x14ac:dyDescent="0.25">
      <c r="E270" s="5"/>
      <c r="F270" s="5"/>
      <c r="G270" s="6"/>
    </row>
    <row r="271" ht="18" customHeight="1" spans="5:7" x14ac:dyDescent="0.25">
      <c r="E271" s="5"/>
      <c r="F271" s="5"/>
      <c r="G271" s="6"/>
    </row>
    <row r="272" ht="18" customHeight="1" spans="5:7" x14ac:dyDescent="0.25">
      <c r="E272" s="5"/>
      <c r="F272" s="5"/>
      <c r="G272" s="6"/>
    </row>
    <row r="273" ht="18" customHeight="1" spans="5:7" x14ac:dyDescent="0.25">
      <c r="E273" s="5"/>
      <c r="F273" s="5"/>
      <c r="G273" s="6"/>
    </row>
    <row r="274" ht="18" customHeight="1" spans="5:7" x14ac:dyDescent="0.25">
      <c r="E274" s="5"/>
      <c r="F274" s="5"/>
      <c r="G274" s="6"/>
    </row>
    <row r="275" ht="18" customHeight="1" spans="5:7" x14ac:dyDescent="0.25">
      <c r="E275" s="5"/>
      <c r="F275" s="5"/>
      <c r="G275" s="6"/>
    </row>
    <row r="276" ht="18" customHeight="1" spans="5:7" x14ac:dyDescent="0.25">
      <c r="E276" s="5"/>
      <c r="F276" s="5"/>
      <c r="G276" s="6"/>
    </row>
    <row r="277" ht="18" customHeight="1" spans="5:7" x14ac:dyDescent="0.25">
      <c r="E277" s="5"/>
      <c r="F277" s="5"/>
      <c r="G277" s="6"/>
    </row>
    <row r="278" ht="18" customHeight="1" spans="5:7" x14ac:dyDescent="0.25">
      <c r="E278" s="5"/>
      <c r="F278" s="5"/>
      <c r="G278" s="6"/>
    </row>
    <row r="279" ht="18" customHeight="1" spans="5:7" x14ac:dyDescent="0.25">
      <c r="E279" s="5"/>
      <c r="F279" s="5"/>
      <c r="G279" s="6"/>
    </row>
    <row r="280" ht="18" customHeight="1" spans="5:7" x14ac:dyDescent="0.25">
      <c r="E280" s="5"/>
      <c r="F280" s="5"/>
      <c r="G280" s="6"/>
    </row>
    <row r="281" ht="18" customHeight="1" spans="5:7" x14ac:dyDescent="0.25">
      <c r="E281" s="5"/>
      <c r="F281" s="5"/>
      <c r="G281" s="6"/>
    </row>
    <row r="282" ht="18" customHeight="1" spans="5:7" x14ac:dyDescent="0.25">
      <c r="E282" s="5"/>
      <c r="F282" s="5"/>
      <c r="G282" s="6"/>
    </row>
    <row r="283" ht="18" customHeight="1" spans="5:7" x14ac:dyDescent="0.25">
      <c r="E283" s="5"/>
      <c r="F283" s="5"/>
      <c r="G283" s="6"/>
    </row>
    <row r="284" ht="18" customHeight="1" spans="5:7" x14ac:dyDescent="0.25">
      <c r="E284" s="5"/>
      <c r="F284" s="5"/>
      <c r="G284" s="6"/>
    </row>
    <row r="285" ht="18" customHeight="1" spans="5:7" x14ac:dyDescent="0.25">
      <c r="E285" s="5"/>
      <c r="F285" s="5"/>
      <c r="G285" s="6"/>
    </row>
    <row r="286" ht="18" customHeight="1" spans="5:7" x14ac:dyDescent="0.25">
      <c r="E286" s="5"/>
      <c r="F286" s="5"/>
      <c r="G286" s="6"/>
    </row>
    <row r="287" ht="18" customHeight="1" spans="5:7" x14ac:dyDescent="0.25">
      <c r="E287" s="5"/>
      <c r="F287" s="5"/>
      <c r="G287" s="6"/>
    </row>
    <row r="288" ht="18" customHeight="1" spans="5:7" x14ac:dyDescent="0.25">
      <c r="E288" s="5"/>
      <c r="F288" s="5"/>
      <c r="G288" s="6"/>
    </row>
    <row r="289" ht="18" customHeight="1" spans="5:7" x14ac:dyDescent="0.25">
      <c r="E289" s="5"/>
      <c r="F289" s="5"/>
      <c r="G289" s="6"/>
    </row>
    <row r="290" ht="18" customHeight="1" spans="5:7" x14ac:dyDescent="0.25">
      <c r="E290" s="5"/>
      <c r="F290" s="5"/>
      <c r="G290" s="6"/>
    </row>
    <row r="291" ht="18" customHeight="1" spans="5:7" x14ac:dyDescent="0.25">
      <c r="E291" s="5"/>
      <c r="F291" s="5"/>
      <c r="G291" s="6"/>
    </row>
    <row r="292" ht="18" customHeight="1" spans="5:7" x14ac:dyDescent="0.25">
      <c r="E292" s="5"/>
      <c r="F292" s="5"/>
      <c r="G292" s="6"/>
    </row>
    <row r="293" ht="18" customHeight="1" spans="5:7" x14ac:dyDescent="0.25">
      <c r="E293" s="5"/>
      <c r="F293" s="5"/>
      <c r="G293" s="6"/>
    </row>
    <row r="294" ht="18" customHeight="1" spans="5:7" x14ac:dyDescent="0.25">
      <c r="E294" s="5"/>
      <c r="F294" s="5"/>
      <c r="G294" s="6"/>
    </row>
    <row r="295" ht="18" customHeight="1" spans="5:7" x14ac:dyDescent="0.25">
      <c r="E295" s="5"/>
      <c r="F295" s="5"/>
      <c r="G295" s="6"/>
    </row>
    <row r="296" ht="18" customHeight="1" spans="5:7" x14ac:dyDescent="0.25">
      <c r="E296" s="5"/>
      <c r="F296" s="5"/>
      <c r="G296" s="6"/>
    </row>
    <row r="297" ht="18" customHeight="1" spans="5:7" x14ac:dyDescent="0.25">
      <c r="E297" s="5"/>
      <c r="F297" s="5"/>
      <c r="G297" s="6"/>
    </row>
    <row r="298" ht="18" customHeight="1" spans="5:7" x14ac:dyDescent="0.25">
      <c r="E298" s="5"/>
      <c r="F298" s="5"/>
      <c r="G298" s="6"/>
    </row>
    <row r="299" ht="18" customHeight="1" spans="5:7" x14ac:dyDescent="0.25">
      <c r="E299" s="5"/>
      <c r="F299" s="5"/>
      <c r="G299" s="6"/>
    </row>
    <row r="300" ht="18" customHeight="1" spans="5:7" x14ac:dyDescent="0.25">
      <c r="E300" s="5"/>
      <c r="F300" s="5"/>
      <c r="G300" s="6"/>
    </row>
    <row r="301" ht="18" customHeight="1" spans="5:7" x14ac:dyDescent="0.25">
      <c r="E301" s="5"/>
      <c r="F301" s="5"/>
      <c r="G301" s="6"/>
    </row>
  </sheetData>
  <autoFilter ref="A1:L1"/>
  <conditionalFormatting sqref="F2:F301">
    <cfRule type="cellIs" dxfId="6" priority="1" operator="between">
      <formula>TODAY()</formula>
      <formula>TODAY()+7</formula>
    </cfRule>
  </conditionalFormatting>
  <dataValidations count="3">
    <dataValidation type="list" sqref="D2:D301">
      <formula1>"Monthly ₹299,Yearly ₹2999"</formula1>
    </dataValidation>
    <dataValidation type="list" allowBlank="1" sqref="H2:H301">
      <formula1>"UPI,Cash,Other"</formula1>
    </dataValidation>
    <dataValidation type="list" sqref="J2:J301">
      <formula1>"Active,Lapsed,Cancelled"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22" customWidth="1"/>
    <col min="4" max="4" width="28" customWidth="1"/>
    <col min="5" max="6" width="13" customWidth="1"/>
    <col min="7" max="7" width="14" customWidth="1"/>
    <col min="8" max="8" width="10" customWidth="1"/>
  </cols>
  <sheetData>
    <row r="1" ht="22" customHeight="1" spans="1:8" x14ac:dyDescent="0.25">
      <c r="A1" s="4" t="s">
        <v>54</v>
      </c>
      <c r="B1" s="4" t="s">
        <v>57</v>
      </c>
      <c r="C1" s="4" t="s">
        <v>21</v>
      </c>
      <c r="D1" s="4" t="s">
        <v>83</v>
      </c>
      <c r="E1" s="4" t="s">
        <v>84</v>
      </c>
      <c r="F1" s="4" t="s">
        <v>85</v>
      </c>
      <c r="G1" s="4" t="s">
        <v>86</v>
      </c>
      <c r="H1" s="4" t="s">
        <v>87</v>
      </c>
    </row>
    <row r="2" spans="1:8" x14ac:dyDescent="0.25">
      <c r="A2" s="5">
        <v>46279.35324877314</v>
      </c>
      <c r="B2" t="s">
        <v>88</v>
      </c>
      <c r="C2" t="s">
        <v>89</v>
      </c>
      <c r="D2" t="s">
        <v>90</v>
      </c>
      <c r="E2" s="6">
        <v>299</v>
      </c>
      <c r="F2" s="6" t="s">
        <v>37</v>
      </c>
      <c r="G2" s="6">
        <f>IF(AND(E2="",F2=""),"",SUM(E2)-SUM(F2))</f>
      </c>
      <c r="H2">
        <f>IF(A2="","",TEXT(A2,"yyyy-mm"))</f>
      </c>
    </row>
    <row r="3" spans="1:8" x14ac:dyDescent="0.25">
      <c r="A3" s="5">
        <v>46279.35324877314</v>
      </c>
      <c r="B3" t="s">
        <v>91</v>
      </c>
      <c r="C3" t="s">
        <v>92</v>
      </c>
      <c r="D3" t="s">
        <v>93</v>
      </c>
      <c r="E3" s="6" t="s">
        <v>37</v>
      </c>
      <c r="F3" s="6">
        <v>20</v>
      </c>
      <c r="G3" s="6">
        <f>IF(AND(E3="",F3=""),"",G2+IF(E3="",0,E3)-IF(F3="",0,F3))</f>
      </c>
      <c r="H3">
        <f>IF(A3="","",TEXT(A3,"yyyy-mm"))</f>
      </c>
    </row>
    <row r="4" ht="18" customHeight="1" spans="1:8" x14ac:dyDescent="0.25">
      <c r="A4" s="5"/>
      <c r="E4" s="6"/>
      <c r="F4" s="6"/>
      <c r="G4" s="6">
        <f>IF(AND(E4="",F4=""),"",G3+IF(E4="",0,E4)-IF(F4="",0,F4))</f>
      </c>
      <c r="H4">
        <f>IF(A4="","",TEXT(A4,"yyyy-mm"))</f>
      </c>
    </row>
    <row r="5" ht="18" customHeight="1" spans="1:8" x14ac:dyDescent="0.25">
      <c r="A5" s="5"/>
      <c r="E5" s="6"/>
      <c r="F5" s="6"/>
      <c r="G5" s="6">
        <f>IF(AND(E5="",F5=""),"",G4+IF(E5="",0,E5)-IF(F5="",0,F5))</f>
      </c>
      <c r="H5">
        <f>IF(A5="","",TEXT(A5,"yyyy-mm"))</f>
      </c>
    </row>
    <row r="6" ht="18" customHeight="1" spans="1:8" x14ac:dyDescent="0.25">
      <c r="A6" s="5"/>
      <c r="E6" s="6"/>
      <c r="F6" s="6"/>
      <c r="G6" s="6">
        <f>IF(AND(E6="",F6=""),"",G5+IF(E6="",0,E6)-IF(F6="",0,F6))</f>
      </c>
      <c r="H6">
        <f>IF(A6="","",TEXT(A6,"yyyy-mm"))</f>
      </c>
    </row>
    <row r="7" ht="18" customHeight="1" spans="1:8" x14ac:dyDescent="0.25">
      <c r="A7" s="5"/>
      <c r="E7" s="6"/>
      <c r="F7" s="6"/>
      <c r="G7" s="6">
        <f>IF(AND(E7="",F7=""),"",G6+IF(E7="",0,E7)-IF(F7="",0,F7))</f>
      </c>
      <c r="H7">
        <f>IF(A7="","",TEXT(A7,"yyyy-mm"))</f>
      </c>
    </row>
    <row r="8" ht="18" customHeight="1" spans="1:8" x14ac:dyDescent="0.25">
      <c r="A8" s="5"/>
      <c r="E8" s="6"/>
      <c r="F8" s="6"/>
      <c r="G8" s="6">
        <f>IF(AND(E8="",F8=""),"",G7+IF(E8="",0,E8)-IF(F8="",0,F8))</f>
      </c>
      <c r="H8">
        <f>IF(A8="","",TEXT(A8,"yyyy-mm"))</f>
      </c>
    </row>
    <row r="9" ht="18" customHeight="1" spans="1:8" x14ac:dyDescent="0.25">
      <c r="A9" s="5"/>
      <c r="E9" s="6"/>
      <c r="F9" s="6"/>
      <c r="G9" s="6">
        <f>IF(AND(E9="",F9=""),"",G8+IF(E9="",0,E9)-IF(F9="",0,F9))</f>
      </c>
      <c r="H9">
        <f>IF(A9="","",TEXT(A9,"yyyy-mm"))</f>
      </c>
    </row>
    <row r="10" ht="18" customHeight="1" spans="1:8" x14ac:dyDescent="0.25">
      <c r="A10" s="5"/>
      <c r="E10" s="6"/>
      <c r="F10" s="6"/>
      <c r="G10" s="6">
        <f>IF(AND(E10="",F10=""),"",G9+IF(E10="",0,E10)-IF(F10="",0,F10))</f>
      </c>
      <c r="H10">
        <f>IF(A10="","",TEXT(A10,"yyyy-mm"))</f>
      </c>
    </row>
    <row r="11" ht="18" customHeight="1" spans="1:8" x14ac:dyDescent="0.25">
      <c r="A11" s="5"/>
      <c r="E11" s="6"/>
      <c r="F11" s="6"/>
      <c r="G11" s="6">
        <f>IF(AND(E11="",F11=""),"",G10+IF(E11="",0,E11)-IF(F11="",0,F11))</f>
      </c>
      <c r="H11">
        <f>IF(A11="","",TEXT(A11,"yyyy-mm"))</f>
      </c>
    </row>
    <row r="12" ht="18" customHeight="1" spans="1:8" x14ac:dyDescent="0.25">
      <c r="A12" s="5"/>
      <c r="E12" s="6"/>
      <c r="F12" s="6"/>
      <c r="G12" s="6">
        <f>IF(AND(E12="",F12=""),"",G11+IF(E12="",0,E12)-IF(F12="",0,F12))</f>
      </c>
      <c r="H12">
        <f>IF(A12="","",TEXT(A12,"yyyy-mm"))</f>
      </c>
    </row>
    <row r="13" ht="18" customHeight="1" spans="1:8" x14ac:dyDescent="0.25">
      <c r="A13" s="5"/>
      <c r="E13" s="6"/>
      <c r="F13" s="6"/>
      <c r="G13" s="6">
        <f>IF(AND(E13="",F13=""),"",G12+IF(E13="",0,E13)-IF(F13="",0,F13))</f>
      </c>
      <c r="H13">
        <f>IF(A13="","",TEXT(A13,"yyyy-mm"))</f>
      </c>
    </row>
    <row r="14" ht="18" customHeight="1" spans="1:8" x14ac:dyDescent="0.25">
      <c r="A14" s="5"/>
      <c r="E14" s="6"/>
      <c r="F14" s="6"/>
      <c r="G14" s="6">
        <f>IF(AND(E14="",F14=""),"",G13+IF(E14="",0,E14)-IF(F14="",0,F14))</f>
      </c>
      <c r="H14">
        <f>IF(A14="","",TEXT(A14,"yyyy-mm"))</f>
      </c>
    </row>
    <row r="15" ht="18" customHeight="1" spans="1:8" x14ac:dyDescent="0.25">
      <c r="A15" s="5"/>
      <c r="E15" s="6"/>
      <c r="F15" s="6"/>
      <c r="G15" s="6">
        <f>IF(AND(E15="",F15=""),"",G14+IF(E15="",0,E15)-IF(F15="",0,F15))</f>
      </c>
      <c r="H15">
        <f>IF(A15="","",TEXT(A15,"yyyy-mm"))</f>
      </c>
    </row>
    <row r="16" ht="18" customHeight="1" spans="1:8" x14ac:dyDescent="0.25">
      <c r="A16" s="5"/>
      <c r="E16" s="6"/>
      <c r="F16" s="6"/>
      <c r="G16" s="6">
        <f>IF(AND(E16="",F16=""),"",G15+IF(E16="",0,E16)-IF(F16="",0,F16))</f>
      </c>
      <c r="H16">
        <f>IF(A16="","",TEXT(A16,"yyyy-mm"))</f>
      </c>
    </row>
    <row r="17" ht="18" customHeight="1" spans="1:8" x14ac:dyDescent="0.25">
      <c r="A17" s="5"/>
      <c r="E17" s="6"/>
      <c r="F17" s="6"/>
      <c r="G17" s="6">
        <f>IF(AND(E17="",F17=""),"",G16+IF(E17="",0,E17)-IF(F17="",0,F17))</f>
      </c>
      <c r="H17">
        <f>IF(A17="","",TEXT(A17,"yyyy-mm"))</f>
      </c>
    </row>
    <row r="18" ht="18" customHeight="1" spans="1:8" x14ac:dyDescent="0.25">
      <c r="A18" s="5"/>
      <c r="E18" s="6"/>
      <c r="F18" s="6"/>
      <c r="G18" s="6">
        <f>IF(AND(E18="",F18=""),"",G17+IF(E18="",0,E18)-IF(F18="",0,F18))</f>
      </c>
      <c r="H18">
        <f>IF(A18="","",TEXT(A18,"yyyy-mm"))</f>
      </c>
    </row>
    <row r="19" ht="18" customHeight="1" spans="1:8" x14ac:dyDescent="0.25">
      <c r="A19" s="5"/>
      <c r="E19" s="6"/>
      <c r="F19" s="6"/>
      <c r="G19" s="6">
        <f>IF(AND(E19="",F19=""),"",G18+IF(E19="",0,E19)-IF(F19="",0,F19))</f>
      </c>
      <c r="H19">
        <f>IF(A19="","",TEXT(A19,"yyyy-mm"))</f>
      </c>
    </row>
    <row r="20" ht="18" customHeight="1" spans="1:8" x14ac:dyDescent="0.25">
      <c r="A20" s="5"/>
      <c r="E20" s="6"/>
      <c r="F20" s="6"/>
      <c r="G20" s="6">
        <f>IF(AND(E20="",F20=""),"",G19+IF(E20="",0,E20)-IF(F20="",0,F20))</f>
      </c>
      <c r="H20">
        <f>IF(A20="","",TEXT(A20,"yyyy-mm"))</f>
      </c>
    </row>
    <row r="21" ht="18" customHeight="1" spans="1:8" x14ac:dyDescent="0.25">
      <c r="A21" s="5"/>
      <c r="E21" s="6"/>
      <c r="F21" s="6"/>
      <c r="G21" s="6">
        <f>IF(AND(E21="",F21=""),"",G20+IF(E21="",0,E21)-IF(F21="",0,F21))</f>
      </c>
      <c r="H21">
        <f>IF(A21="","",TEXT(A21,"yyyy-mm"))</f>
      </c>
    </row>
    <row r="22" ht="18" customHeight="1" spans="1:8" x14ac:dyDescent="0.25">
      <c r="A22" s="5"/>
      <c r="E22" s="6"/>
      <c r="F22" s="6"/>
      <c r="G22" s="6">
        <f>IF(AND(E22="",F22=""),"",G21+IF(E22="",0,E22)-IF(F22="",0,F22))</f>
      </c>
      <c r="H22">
        <f>IF(A22="","",TEXT(A22,"yyyy-mm"))</f>
      </c>
    </row>
    <row r="23" ht="18" customHeight="1" spans="1:8" x14ac:dyDescent="0.25">
      <c r="A23" s="5"/>
      <c r="E23" s="6"/>
      <c r="F23" s="6"/>
      <c r="G23" s="6">
        <f>IF(AND(E23="",F23=""),"",G22+IF(E23="",0,E23)-IF(F23="",0,F23))</f>
      </c>
      <c r="H23">
        <f>IF(A23="","",TEXT(A23,"yyyy-mm"))</f>
      </c>
    </row>
    <row r="24" ht="18" customHeight="1" spans="1:8" x14ac:dyDescent="0.25">
      <c r="A24" s="5"/>
      <c r="E24" s="6"/>
      <c r="F24" s="6"/>
      <c r="G24" s="6">
        <f>IF(AND(E24="",F24=""),"",G23+IF(E24="",0,E24)-IF(F24="",0,F24))</f>
      </c>
      <c r="H24">
        <f>IF(A24="","",TEXT(A24,"yyyy-mm"))</f>
      </c>
    </row>
    <row r="25" ht="18" customHeight="1" spans="1:8" x14ac:dyDescent="0.25">
      <c r="A25" s="5"/>
      <c r="E25" s="6"/>
      <c r="F25" s="6"/>
      <c r="G25" s="6">
        <f>IF(AND(E25="",F25=""),"",G24+IF(E25="",0,E25)-IF(F25="",0,F25))</f>
      </c>
      <c r="H25">
        <f>IF(A25="","",TEXT(A25,"yyyy-mm"))</f>
      </c>
    </row>
    <row r="26" ht="18" customHeight="1" spans="1:8" x14ac:dyDescent="0.25">
      <c r="A26" s="5"/>
      <c r="E26" s="6"/>
      <c r="F26" s="6"/>
      <c r="G26" s="6">
        <f>IF(AND(E26="",F26=""),"",G25+IF(E26="",0,E26)-IF(F26="",0,F26))</f>
      </c>
      <c r="H26">
        <f>IF(A26="","",TEXT(A26,"yyyy-mm"))</f>
      </c>
    </row>
    <row r="27" ht="18" customHeight="1" spans="1:8" x14ac:dyDescent="0.25">
      <c r="A27" s="5"/>
      <c r="E27" s="6"/>
      <c r="F27" s="6"/>
      <c r="G27" s="6">
        <f>IF(AND(E27="",F27=""),"",G26+IF(E27="",0,E27)-IF(F27="",0,F27))</f>
      </c>
      <c r="H27">
        <f>IF(A27="","",TEXT(A27,"yyyy-mm"))</f>
      </c>
    </row>
    <row r="28" ht="18" customHeight="1" spans="1:8" x14ac:dyDescent="0.25">
      <c r="A28" s="5"/>
      <c r="E28" s="6"/>
      <c r="F28" s="6"/>
      <c r="G28" s="6">
        <f>IF(AND(E28="",F28=""),"",G27+IF(E28="",0,E28)-IF(F28="",0,F28))</f>
      </c>
      <c r="H28">
        <f>IF(A28="","",TEXT(A28,"yyyy-mm"))</f>
      </c>
    </row>
    <row r="29" ht="18" customHeight="1" spans="1:8" x14ac:dyDescent="0.25">
      <c r="A29" s="5"/>
      <c r="E29" s="6"/>
      <c r="F29" s="6"/>
      <c r="G29" s="6">
        <f>IF(AND(E29="",F29=""),"",G28+IF(E29="",0,E29)-IF(F29="",0,F29))</f>
      </c>
      <c r="H29">
        <f>IF(A29="","",TEXT(A29,"yyyy-mm"))</f>
      </c>
    </row>
    <row r="30" ht="18" customHeight="1" spans="1:8" x14ac:dyDescent="0.25">
      <c r="A30" s="5"/>
      <c r="E30" s="6"/>
      <c r="F30" s="6"/>
      <c r="G30" s="6">
        <f>IF(AND(E30="",F30=""),"",G29+IF(E30="",0,E30)-IF(F30="",0,F30))</f>
      </c>
      <c r="H30">
        <f>IF(A30="","",TEXT(A30,"yyyy-mm"))</f>
      </c>
    </row>
    <row r="31" ht="18" customHeight="1" spans="1:8" x14ac:dyDescent="0.25">
      <c r="A31" s="5"/>
      <c r="E31" s="6"/>
      <c r="F31" s="6"/>
      <c r="G31" s="6">
        <f>IF(AND(E31="",F31=""),"",G30+IF(E31="",0,E31)-IF(F31="",0,F31))</f>
      </c>
      <c r="H31">
        <f>IF(A31="","",TEXT(A31,"yyyy-mm"))</f>
      </c>
    </row>
    <row r="32" ht="18" customHeight="1" spans="1:8" x14ac:dyDescent="0.25">
      <c r="A32" s="5"/>
      <c r="E32" s="6"/>
      <c r="F32" s="6"/>
      <c r="G32" s="6">
        <f>IF(AND(E32="",F32=""),"",G31+IF(E32="",0,E32)-IF(F32="",0,F32))</f>
      </c>
      <c r="H32">
        <f>IF(A32="","",TEXT(A32,"yyyy-mm"))</f>
      </c>
    </row>
    <row r="33" ht="18" customHeight="1" spans="1:8" x14ac:dyDescent="0.25">
      <c r="A33" s="5"/>
      <c r="E33" s="6"/>
      <c r="F33" s="6"/>
      <c r="G33" s="6">
        <f>IF(AND(E33="",F33=""),"",G32+IF(E33="",0,E33)-IF(F33="",0,F33))</f>
      </c>
      <c r="H33">
        <f>IF(A33="","",TEXT(A33,"yyyy-mm"))</f>
      </c>
    </row>
    <row r="34" ht="18" customHeight="1" spans="1:8" x14ac:dyDescent="0.25">
      <c r="A34" s="5"/>
      <c r="E34" s="6"/>
      <c r="F34" s="6"/>
      <c r="G34" s="6">
        <f>IF(AND(E34="",F34=""),"",G33+IF(E34="",0,E34)-IF(F34="",0,F34))</f>
      </c>
      <c r="H34">
        <f>IF(A34="","",TEXT(A34,"yyyy-mm"))</f>
      </c>
    </row>
    <row r="35" ht="18" customHeight="1" spans="1:8" x14ac:dyDescent="0.25">
      <c r="A35" s="5"/>
      <c r="E35" s="6"/>
      <c r="F35" s="6"/>
      <c r="G35" s="6">
        <f>IF(AND(E35="",F35=""),"",G34+IF(E35="",0,E35)-IF(F35="",0,F35))</f>
      </c>
      <c r="H35">
        <f>IF(A35="","",TEXT(A35,"yyyy-mm"))</f>
      </c>
    </row>
    <row r="36" ht="18" customHeight="1" spans="1:8" x14ac:dyDescent="0.25">
      <c r="A36" s="5"/>
      <c r="E36" s="6"/>
      <c r="F36" s="6"/>
      <c r="G36" s="6">
        <f>IF(AND(E36="",F36=""),"",G35+IF(E36="",0,E36)-IF(F36="",0,F36))</f>
      </c>
      <c r="H36">
        <f>IF(A36="","",TEXT(A36,"yyyy-mm"))</f>
      </c>
    </row>
    <row r="37" ht="18" customHeight="1" spans="1:8" x14ac:dyDescent="0.25">
      <c r="A37" s="5"/>
      <c r="E37" s="6"/>
      <c r="F37" s="6"/>
      <c r="G37" s="6">
        <f>IF(AND(E37="",F37=""),"",G36+IF(E37="",0,E37)-IF(F37="",0,F37))</f>
      </c>
      <c r="H37">
        <f>IF(A37="","",TEXT(A37,"yyyy-mm"))</f>
      </c>
    </row>
    <row r="38" ht="18" customHeight="1" spans="1:8" x14ac:dyDescent="0.25">
      <c r="A38" s="5"/>
      <c r="E38" s="6"/>
      <c r="F38" s="6"/>
      <c r="G38" s="6">
        <f>IF(AND(E38="",F38=""),"",G37+IF(E38="",0,E38)-IF(F38="",0,F38))</f>
      </c>
      <c r="H38">
        <f>IF(A38="","",TEXT(A38,"yyyy-mm"))</f>
      </c>
    </row>
    <row r="39" ht="18" customHeight="1" spans="1:8" x14ac:dyDescent="0.25">
      <c r="A39" s="5"/>
      <c r="E39" s="6"/>
      <c r="F39" s="6"/>
      <c r="G39" s="6">
        <f>IF(AND(E39="",F39=""),"",G38+IF(E39="",0,E39)-IF(F39="",0,F39))</f>
      </c>
      <c r="H39">
        <f>IF(A39="","",TEXT(A39,"yyyy-mm"))</f>
      </c>
    </row>
    <row r="40" ht="18" customHeight="1" spans="1:8" x14ac:dyDescent="0.25">
      <c r="A40" s="5"/>
      <c r="E40" s="6"/>
      <c r="F40" s="6"/>
      <c r="G40" s="6">
        <f>IF(AND(E40="",F40=""),"",G39+IF(E40="",0,E40)-IF(F40="",0,F40))</f>
      </c>
      <c r="H40">
        <f>IF(A40="","",TEXT(A40,"yyyy-mm"))</f>
      </c>
    </row>
    <row r="41" ht="18" customHeight="1" spans="1:8" x14ac:dyDescent="0.25">
      <c r="A41" s="5"/>
      <c r="E41" s="6"/>
      <c r="F41" s="6"/>
      <c r="G41" s="6">
        <f>IF(AND(E41="",F41=""),"",G40+IF(E41="",0,E41)-IF(F41="",0,F41))</f>
      </c>
      <c r="H41">
        <f>IF(A41="","",TEXT(A41,"yyyy-mm"))</f>
      </c>
    </row>
    <row r="42" ht="18" customHeight="1" spans="1:8" x14ac:dyDescent="0.25">
      <c r="A42" s="5"/>
      <c r="E42" s="6"/>
      <c r="F42" s="6"/>
      <c r="G42" s="6">
        <f>IF(AND(E42="",F42=""),"",G41+IF(E42="",0,E42)-IF(F42="",0,F42))</f>
      </c>
      <c r="H42">
        <f>IF(A42="","",TEXT(A42,"yyyy-mm"))</f>
      </c>
    </row>
    <row r="43" ht="18" customHeight="1" spans="1:8" x14ac:dyDescent="0.25">
      <c r="A43" s="5"/>
      <c r="E43" s="6"/>
      <c r="F43" s="6"/>
      <c r="G43" s="6">
        <f>IF(AND(E43="",F43=""),"",G42+IF(E43="",0,E43)-IF(F43="",0,F43))</f>
      </c>
      <c r="H43">
        <f>IF(A43="","",TEXT(A43,"yyyy-mm"))</f>
      </c>
    </row>
    <row r="44" ht="18" customHeight="1" spans="1:8" x14ac:dyDescent="0.25">
      <c r="A44" s="5"/>
      <c r="E44" s="6"/>
      <c r="F44" s="6"/>
      <c r="G44" s="6">
        <f>IF(AND(E44="",F44=""),"",G43+IF(E44="",0,E44)-IF(F44="",0,F44))</f>
      </c>
      <c r="H44">
        <f>IF(A44="","",TEXT(A44,"yyyy-mm"))</f>
      </c>
    </row>
    <row r="45" ht="18" customHeight="1" spans="1:8" x14ac:dyDescent="0.25">
      <c r="A45" s="5"/>
      <c r="E45" s="6"/>
      <c r="F45" s="6"/>
      <c r="G45" s="6">
        <f>IF(AND(E45="",F45=""),"",G44+IF(E45="",0,E45)-IF(F45="",0,F45))</f>
      </c>
      <c r="H45">
        <f>IF(A45="","",TEXT(A45,"yyyy-mm"))</f>
      </c>
    </row>
    <row r="46" ht="18" customHeight="1" spans="1:8" x14ac:dyDescent="0.25">
      <c r="A46" s="5"/>
      <c r="E46" s="6"/>
      <c r="F46" s="6"/>
      <c r="G46" s="6">
        <f>IF(AND(E46="",F46=""),"",G45+IF(E46="",0,E46)-IF(F46="",0,F46))</f>
      </c>
      <c r="H46">
        <f>IF(A46="","",TEXT(A46,"yyyy-mm"))</f>
      </c>
    </row>
    <row r="47" ht="18" customHeight="1" spans="1:8" x14ac:dyDescent="0.25">
      <c r="A47" s="5"/>
      <c r="E47" s="6"/>
      <c r="F47" s="6"/>
      <c r="G47" s="6">
        <f>IF(AND(E47="",F47=""),"",G46+IF(E47="",0,E47)-IF(F47="",0,F47))</f>
      </c>
      <c r="H47">
        <f>IF(A47="","",TEXT(A47,"yyyy-mm"))</f>
      </c>
    </row>
    <row r="48" ht="18" customHeight="1" spans="1:8" x14ac:dyDescent="0.25">
      <c r="A48" s="5"/>
      <c r="E48" s="6"/>
      <c r="F48" s="6"/>
      <c r="G48" s="6">
        <f>IF(AND(E48="",F48=""),"",G47+IF(E48="",0,E48)-IF(F48="",0,F48))</f>
      </c>
      <c r="H48">
        <f>IF(A48="","",TEXT(A48,"yyyy-mm"))</f>
      </c>
    </row>
    <row r="49" ht="18" customHeight="1" spans="1:8" x14ac:dyDescent="0.25">
      <c r="A49" s="5"/>
      <c r="E49" s="6"/>
      <c r="F49" s="6"/>
      <c r="G49" s="6">
        <f>IF(AND(E49="",F49=""),"",G48+IF(E49="",0,E49)-IF(F49="",0,F49))</f>
      </c>
      <c r="H49">
        <f>IF(A49="","",TEXT(A49,"yyyy-mm"))</f>
      </c>
    </row>
    <row r="50" ht="18" customHeight="1" spans="1:8" x14ac:dyDescent="0.25">
      <c r="A50" s="5"/>
      <c r="E50" s="6"/>
      <c r="F50" s="6"/>
      <c r="G50" s="6">
        <f>IF(AND(E50="",F50=""),"",G49+IF(E50="",0,E50)-IF(F50="",0,F50))</f>
      </c>
      <c r="H50">
        <f>IF(A50="","",TEXT(A50,"yyyy-mm"))</f>
      </c>
    </row>
    <row r="51" ht="18" customHeight="1" spans="1:8" x14ac:dyDescent="0.25">
      <c r="A51" s="5"/>
      <c r="E51" s="6"/>
      <c r="F51" s="6"/>
      <c r="G51" s="6">
        <f>IF(AND(E51="",F51=""),"",G50+IF(E51="",0,E51)-IF(F51="",0,F51))</f>
      </c>
      <c r="H51">
        <f>IF(A51="","",TEXT(A51,"yyyy-mm"))</f>
      </c>
    </row>
    <row r="52" ht="18" customHeight="1" spans="1:8" x14ac:dyDescent="0.25">
      <c r="A52" s="5"/>
      <c r="E52" s="6"/>
      <c r="F52" s="6"/>
      <c r="G52" s="6">
        <f>IF(AND(E52="",F52=""),"",G51+IF(E52="",0,E52)-IF(F52="",0,F52))</f>
      </c>
      <c r="H52">
        <f>IF(A52="","",TEXT(A52,"yyyy-mm"))</f>
      </c>
    </row>
    <row r="53" ht="18" customHeight="1" spans="1:8" x14ac:dyDescent="0.25">
      <c r="A53" s="5"/>
      <c r="E53" s="6"/>
      <c r="F53" s="6"/>
      <c r="G53" s="6">
        <f>IF(AND(E53="",F53=""),"",G52+IF(E53="",0,E53)-IF(F53="",0,F53))</f>
      </c>
      <c r="H53">
        <f>IF(A53="","",TEXT(A53,"yyyy-mm"))</f>
      </c>
    </row>
    <row r="54" ht="18" customHeight="1" spans="1:8" x14ac:dyDescent="0.25">
      <c r="A54" s="5"/>
      <c r="E54" s="6"/>
      <c r="F54" s="6"/>
      <c r="G54" s="6">
        <f>IF(AND(E54="",F54=""),"",G53+IF(E54="",0,E54)-IF(F54="",0,F54))</f>
      </c>
      <c r="H54">
        <f>IF(A54="","",TEXT(A54,"yyyy-mm"))</f>
      </c>
    </row>
    <row r="55" ht="18" customHeight="1" spans="1:8" x14ac:dyDescent="0.25">
      <c r="A55" s="5"/>
      <c r="E55" s="6"/>
      <c r="F55" s="6"/>
      <c r="G55" s="6">
        <f>IF(AND(E55="",F55=""),"",G54+IF(E55="",0,E55)-IF(F55="",0,F55))</f>
      </c>
      <c r="H55">
        <f>IF(A55="","",TEXT(A55,"yyyy-mm"))</f>
      </c>
    </row>
    <row r="56" ht="18" customHeight="1" spans="1:8" x14ac:dyDescent="0.25">
      <c r="A56" s="5"/>
      <c r="E56" s="6"/>
      <c r="F56" s="6"/>
      <c r="G56" s="6">
        <f>IF(AND(E56="",F56=""),"",G55+IF(E56="",0,E56)-IF(F56="",0,F56))</f>
      </c>
      <c r="H56">
        <f>IF(A56="","",TEXT(A56,"yyyy-mm"))</f>
      </c>
    </row>
    <row r="57" ht="18" customHeight="1" spans="1:8" x14ac:dyDescent="0.25">
      <c r="A57" s="5"/>
      <c r="E57" s="6"/>
      <c r="F57" s="6"/>
      <c r="G57" s="6">
        <f>IF(AND(E57="",F57=""),"",G56+IF(E57="",0,E57)-IF(F57="",0,F57))</f>
      </c>
      <c r="H57">
        <f>IF(A57="","",TEXT(A57,"yyyy-mm"))</f>
      </c>
    </row>
    <row r="58" ht="18" customHeight="1" spans="1:8" x14ac:dyDescent="0.25">
      <c r="A58" s="5"/>
      <c r="E58" s="6"/>
      <c r="F58" s="6"/>
      <c r="G58" s="6">
        <f>IF(AND(E58="",F58=""),"",G57+IF(E58="",0,E58)-IF(F58="",0,F58))</f>
      </c>
      <c r="H58">
        <f>IF(A58="","",TEXT(A58,"yyyy-mm"))</f>
      </c>
    </row>
    <row r="59" ht="18" customHeight="1" spans="1:8" x14ac:dyDescent="0.25">
      <c r="A59" s="5"/>
      <c r="E59" s="6"/>
      <c r="F59" s="6"/>
      <c r="G59" s="6">
        <f>IF(AND(E59="",F59=""),"",G58+IF(E59="",0,E59)-IF(F59="",0,F59))</f>
      </c>
      <c r="H59">
        <f>IF(A59="","",TEXT(A59,"yyyy-mm"))</f>
      </c>
    </row>
    <row r="60" ht="18" customHeight="1" spans="1:8" x14ac:dyDescent="0.25">
      <c r="A60" s="5"/>
      <c r="E60" s="6"/>
      <c r="F60" s="6"/>
      <c r="G60" s="6">
        <f>IF(AND(E60="",F60=""),"",G59+IF(E60="",0,E60)-IF(F60="",0,F60))</f>
      </c>
      <c r="H60">
        <f>IF(A60="","",TEXT(A60,"yyyy-mm"))</f>
      </c>
    </row>
    <row r="61" ht="18" customHeight="1" spans="1:8" x14ac:dyDescent="0.25">
      <c r="A61" s="5"/>
      <c r="E61" s="6"/>
      <c r="F61" s="6"/>
      <c r="G61" s="6">
        <f>IF(AND(E61="",F61=""),"",G60+IF(E61="",0,E61)-IF(F61="",0,F61))</f>
      </c>
      <c r="H61">
        <f>IF(A61="","",TEXT(A61,"yyyy-mm"))</f>
      </c>
    </row>
    <row r="62" ht="18" customHeight="1" spans="1:8" x14ac:dyDescent="0.25">
      <c r="A62" s="5"/>
      <c r="E62" s="6"/>
      <c r="F62" s="6"/>
      <c r="G62" s="6">
        <f>IF(AND(E62="",F62=""),"",G61+IF(E62="",0,E62)-IF(F62="",0,F62))</f>
      </c>
      <c r="H62">
        <f>IF(A62="","",TEXT(A62,"yyyy-mm"))</f>
      </c>
    </row>
    <row r="63" ht="18" customHeight="1" spans="1:8" x14ac:dyDescent="0.25">
      <c r="A63" s="5"/>
      <c r="E63" s="6"/>
      <c r="F63" s="6"/>
      <c r="G63" s="6">
        <f>IF(AND(E63="",F63=""),"",G62+IF(E63="",0,E63)-IF(F63="",0,F63))</f>
      </c>
      <c r="H63">
        <f>IF(A63="","",TEXT(A63,"yyyy-mm"))</f>
      </c>
    </row>
    <row r="64" ht="18" customHeight="1" spans="1:8" x14ac:dyDescent="0.25">
      <c r="A64" s="5"/>
      <c r="E64" s="6"/>
      <c r="F64" s="6"/>
      <c r="G64" s="6">
        <f>IF(AND(E64="",F64=""),"",G63+IF(E64="",0,E64)-IF(F64="",0,F64))</f>
      </c>
      <c r="H64">
        <f>IF(A64="","",TEXT(A64,"yyyy-mm"))</f>
      </c>
    </row>
    <row r="65" ht="18" customHeight="1" spans="1:8" x14ac:dyDescent="0.25">
      <c r="A65" s="5"/>
      <c r="E65" s="6"/>
      <c r="F65" s="6"/>
      <c r="G65" s="6">
        <f>IF(AND(E65="",F65=""),"",G64+IF(E65="",0,E65)-IF(F65="",0,F65))</f>
      </c>
      <c r="H65">
        <f>IF(A65="","",TEXT(A65,"yyyy-mm"))</f>
      </c>
    </row>
    <row r="66" ht="18" customHeight="1" spans="1:8" x14ac:dyDescent="0.25">
      <c r="A66" s="5"/>
      <c r="E66" s="6"/>
      <c r="F66" s="6"/>
      <c r="G66" s="6">
        <f>IF(AND(E66="",F66=""),"",G65+IF(E66="",0,E66)-IF(F66="",0,F66))</f>
      </c>
      <c r="H66">
        <f>IF(A66="","",TEXT(A66,"yyyy-mm"))</f>
      </c>
    </row>
    <row r="67" ht="18" customHeight="1" spans="1:8" x14ac:dyDescent="0.25">
      <c r="A67" s="5"/>
      <c r="E67" s="6"/>
      <c r="F67" s="6"/>
      <c r="G67" s="6">
        <f>IF(AND(E67="",F67=""),"",G66+IF(E67="",0,E67)-IF(F67="",0,F67))</f>
      </c>
      <c r="H67">
        <f>IF(A67="","",TEXT(A67,"yyyy-mm"))</f>
      </c>
    </row>
    <row r="68" ht="18" customHeight="1" spans="1:8" x14ac:dyDescent="0.25">
      <c r="A68" s="5"/>
      <c r="E68" s="6"/>
      <c r="F68" s="6"/>
      <c r="G68" s="6">
        <f>IF(AND(E68="",F68=""),"",G67+IF(E68="",0,E68)-IF(F68="",0,F68))</f>
      </c>
      <c r="H68">
        <f>IF(A68="","",TEXT(A68,"yyyy-mm"))</f>
      </c>
    </row>
    <row r="69" ht="18" customHeight="1" spans="1:8" x14ac:dyDescent="0.25">
      <c r="A69" s="5"/>
      <c r="E69" s="6"/>
      <c r="F69" s="6"/>
      <c r="G69" s="6">
        <f>IF(AND(E69="",F69=""),"",G68+IF(E69="",0,E69)-IF(F69="",0,F69))</f>
      </c>
      <c r="H69">
        <f>IF(A69="","",TEXT(A69,"yyyy-mm"))</f>
      </c>
    </row>
    <row r="70" ht="18" customHeight="1" spans="1:8" x14ac:dyDescent="0.25">
      <c r="A70" s="5"/>
      <c r="E70" s="6"/>
      <c r="F70" s="6"/>
      <c r="G70" s="6">
        <f>IF(AND(E70="",F70=""),"",G69+IF(E70="",0,E70)-IF(F70="",0,F70))</f>
      </c>
      <c r="H70">
        <f>IF(A70="","",TEXT(A70,"yyyy-mm"))</f>
      </c>
    </row>
    <row r="71" ht="18" customHeight="1" spans="1:8" x14ac:dyDescent="0.25">
      <c r="A71" s="5"/>
      <c r="E71" s="6"/>
      <c r="F71" s="6"/>
      <c r="G71" s="6">
        <f>IF(AND(E71="",F71=""),"",G70+IF(E71="",0,E71)-IF(F71="",0,F71))</f>
      </c>
      <c r="H71">
        <f>IF(A71="","",TEXT(A71,"yyyy-mm"))</f>
      </c>
    </row>
    <row r="72" ht="18" customHeight="1" spans="1:8" x14ac:dyDescent="0.25">
      <c r="A72" s="5"/>
      <c r="E72" s="6"/>
      <c r="F72" s="6"/>
      <c r="G72" s="6">
        <f>IF(AND(E72="",F72=""),"",G71+IF(E72="",0,E72)-IF(F72="",0,F72))</f>
      </c>
      <c r="H72">
        <f>IF(A72="","",TEXT(A72,"yyyy-mm"))</f>
      </c>
    </row>
    <row r="73" ht="18" customHeight="1" spans="1:8" x14ac:dyDescent="0.25">
      <c r="A73" s="5"/>
      <c r="E73" s="6"/>
      <c r="F73" s="6"/>
      <c r="G73" s="6">
        <f>IF(AND(E73="",F73=""),"",G72+IF(E73="",0,E73)-IF(F73="",0,F73))</f>
      </c>
      <c r="H73">
        <f>IF(A73="","",TEXT(A73,"yyyy-mm"))</f>
      </c>
    </row>
    <row r="74" ht="18" customHeight="1" spans="1:8" x14ac:dyDescent="0.25">
      <c r="A74" s="5"/>
      <c r="E74" s="6"/>
      <c r="F74" s="6"/>
      <c r="G74" s="6">
        <f>IF(AND(E74="",F74=""),"",G73+IF(E74="",0,E74)-IF(F74="",0,F74))</f>
      </c>
      <c r="H74">
        <f>IF(A74="","",TEXT(A74,"yyyy-mm"))</f>
      </c>
    </row>
    <row r="75" ht="18" customHeight="1" spans="1:8" x14ac:dyDescent="0.25">
      <c r="A75" s="5"/>
      <c r="E75" s="6"/>
      <c r="F75" s="6"/>
      <c r="G75" s="6">
        <f>IF(AND(E75="",F75=""),"",G74+IF(E75="",0,E75)-IF(F75="",0,F75))</f>
      </c>
      <c r="H75">
        <f>IF(A75="","",TEXT(A75,"yyyy-mm"))</f>
      </c>
    </row>
    <row r="76" ht="18" customHeight="1" spans="1:8" x14ac:dyDescent="0.25">
      <c r="A76" s="5"/>
      <c r="E76" s="6"/>
      <c r="F76" s="6"/>
      <c r="G76" s="6">
        <f>IF(AND(E76="",F76=""),"",G75+IF(E76="",0,E76)-IF(F76="",0,F76))</f>
      </c>
      <c r="H76">
        <f>IF(A76="","",TEXT(A76,"yyyy-mm"))</f>
      </c>
    </row>
    <row r="77" ht="18" customHeight="1" spans="1:8" x14ac:dyDescent="0.25">
      <c r="A77" s="5"/>
      <c r="E77" s="6"/>
      <c r="F77" s="6"/>
      <c r="G77" s="6">
        <f>IF(AND(E77="",F77=""),"",G76+IF(E77="",0,E77)-IF(F77="",0,F77))</f>
      </c>
      <c r="H77">
        <f>IF(A77="","",TEXT(A77,"yyyy-mm"))</f>
      </c>
    </row>
    <row r="78" ht="18" customHeight="1" spans="1:8" x14ac:dyDescent="0.25">
      <c r="A78" s="5"/>
      <c r="E78" s="6"/>
      <c r="F78" s="6"/>
      <c r="G78" s="6">
        <f>IF(AND(E78="",F78=""),"",G77+IF(E78="",0,E78)-IF(F78="",0,F78))</f>
      </c>
      <c r="H78">
        <f>IF(A78="","",TEXT(A78,"yyyy-mm"))</f>
      </c>
    </row>
    <row r="79" ht="18" customHeight="1" spans="1:8" x14ac:dyDescent="0.25">
      <c r="A79" s="5"/>
      <c r="E79" s="6"/>
      <c r="F79" s="6"/>
      <c r="G79" s="6">
        <f>IF(AND(E79="",F79=""),"",G78+IF(E79="",0,E79)-IF(F79="",0,F79))</f>
      </c>
      <c r="H79">
        <f>IF(A79="","",TEXT(A79,"yyyy-mm"))</f>
      </c>
    </row>
    <row r="80" ht="18" customHeight="1" spans="1:8" x14ac:dyDescent="0.25">
      <c r="A80" s="5"/>
      <c r="E80" s="6"/>
      <c r="F80" s="6"/>
      <c r="G80" s="6">
        <f>IF(AND(E80="",F80=""),"",G79+IF(E80="",0,E80)-IF(F80="",0,F80))</f>
      </c>
      <c r="H80">
        <f>IF(A80="","",TEXT(A80,"yyyy-mm"))</f>
      </c>
    </row>
    <row r="81" ht="18" customHeight="1" spans="1:8" x14ac:dyDescent="0.25">
      <c r="A81" s="5"/>
      <c r="E81" s="6"/>
      <c r="F81" s="6"/>
      <c r="G81" s="6">
        <f>IF(AND(E81="",F81=""),"",G80+IF(E81="",0,E81)-IF(F81="",0,F81))</f>
      </c>
      <c r="H81">
        <f>IF(A81="","",TEXT(A81,"yyyy-mm"))</f>
      </c>
    </row>
    <row r="82" ht="18" customHeight="1" spans="1:8" x14ac:dyDescent="0.25">
      <c r="A82" s="5"/>
      <c r="E82" s="6"/>
      <c r="F82" s="6"/>
      <c r="G82" s="6">
        <f>IF(AND(E82="",F82=""),"",G81+IF(E82="",0,E82)-IF(F82="",0,F82))</f>
      </c>
      <c r="H82">
        <f>IF(A82="","",TEXT(A82,"yyyy-mm"))</f>
      </c>
    </row>
    <row r="83" ht="18" customHeight="1" spans="1:8" x14ac:dyDescent="0.25">
      <c r="A83" s="5"/>
      <c r="E83" s="6"/>
      <c r="F83" s="6"/>
      <c r="G83" s="6">
        <f>IF(AND(E83="",F83=""),"",G82+IF(E83="",0,E83)-IF(F83="",0,F83))</f>
      </c>
      <c r="H83">
        <f>IF(A83="","",TEXT(A83,"yyyy-mm"))</f>
      </c>
    </row>
    <row r="84" ht="18" customHeight="1" spans="1:8" x14ac:dyDescent="0.25">
      <c r="A84" s="5"/>
      <c r="E84" s="6"/>
      <c r="F84" s="6"/>
      <c r="G84" s="6">
        <f>IF(AND(E84="",F84=""),"",G83+IF(E84="",0,E84)-IF(F84="",0,F84))</f>
      </c>
      <c r="H84">
        <f>IF(A84="","",TEXT(A84,"yyyy-mm"))</f>
      </c>
    </row>
    <row r="85" ht="18" customHeight="1" spans="1:8" x14ac:dyDescent="0.25">
      <c r="A85" s="5"/>
      <c r="E85" s="6"/>
      <c r="F85" s="6"/>
      <c r="G85" s="6">
        <f>IF(AND(E85="",F85=""),"",G84+IF(E85="",0,E85)-IF(F85="",0,F85))</f>
      </c>
      <c r="H85">
        <f>IF(A85="","",TEXT(A85,"yyyy-mm"))</f>
      </c>
    </row>
    <row r="86" ht="18" customHeight="1" spans="1:8" x14ac:dyDescent="0.25">
      <c r="A86" s="5"/>
      <c r="E86" s="6"/>
      <c r="F86" s="6"/>
      <c r="G86" s="6">
        <f>IF(AND(E86="",F86=""),"",G85+IF(E86="",0,E86)-IF(F86="",0,F86))</f>
      </c>
      <c r="H86">
        <f>IF(A86="","",TEXT(A86,"yyyy-mm"))</f>
      </c>
    </row>
    <row r="87" ht="18" customHeight="1" spans="1:8" x14ac:dyDescent="0.25">
      <c r="A87" s="5"/>
      <c r="E87" s="6"/>
      <c r="F87" s="6"/>
      <c r="G87" s="6">
        <f>IF(AND(E87="",F87=""),"",G86+IF(E87="",0,E87)-IF(F87="",0,F87))</f>
      </c>
      <c r="H87">
        <f>IF(A87="","",TEXT(A87,"yyyy-mm"))</f>
      </c>
    </row>
    <row r="88" ht="18" customHeight="1" spans="1:8" x14ac:dyDescent="0.25">
      <c r="A88" s="5"/>
      <c r="E88" s="6"/>
      <c r="F88" s="6"/>
      <c r="G88" s="6">
        <f>IF(AND(E88="",F88=""),"",G87+IF(E88="",0,E88)-IF(F88="",0,F88))</f>
      </c>
      <c r="H88">
        <f>IF(A88="","",TEXT(A88,"yyyy-mm"))</f>
      </c>
    </row>
    <row r="89" ht="18" customHeight="1" spans="1:8" x14ac:dyDescent="0.25">
      <c r="A89" s="5"/>
      <c r="E89" s="6"/>
      <c r="F89" s="6"/>
      <c r="G89" s="6">
        <f>IF(AND(E89="",F89=""),"",G88+IF(E89="",0,E89)-IF(F89="",0,F89))</f>
      </c>
      <c r="H89">
        <f>IF(A89="","",TEXT(A89,"yyyy-mm"))</f>
      </c>
    </row>
    <row r="90" ht="18" customHeight="1" spans="1:8" x14ac:dyDescent="0.25">
      <c r="A90" s="5"/>
      <c r="E90" s="6"/>
      <c r="F90" s="6"/>
      <c r="G90" s="6">
        <f>IF(AND(E90="",F90=""),"",G89+IF(E90="",0,E90)-IF(F90="",0,F90))</f>
      </c>
      <c r="H90">
        <f>IF(A90="","",TEXT(A90,"yyyy-mm"))</f>
      </c>
    </row>
    <row r="91" ht="18" customHeight="1" spans="1:8" x14ac:dyDescent="0.25">
      <c r="A91" s="5"/>
      <c r="E91" s="6"/>
      <c r="F91" s="6"/>
      <c r="G91" s="6">
        <f>IF(AND(E91="",F91=""),"",G90+IF(E91="",0,E91)-IF(F91="",0,F91))</f>
      </c>
      <c r="H91">
        <f>IF(A91="","",TEXT(A91,"yyyy-mm"))</f>
      </c>
    </row>
    <row r="92" ht="18" customHeight="1" spans="1:8" x14ac:dyDescent="0.25">
      <c r="A92" s="5"/>
      <c r="E92" s="6"/>
      <c r="F92" s="6"/>
      <c r="G92" s="6">
        <f>IF(AND(E92="",F92=""),"",G91+IF(E92="",0,E92)-IF(F92="",0,F92))</f>
      </c>
      <c r="H92">
        <f>IF(A92="","",TEXT(A92,"yyyy-mm"))</f>
      </c>
    </row>
    <row r="93" ht="18" customHeight="1" spans="1:8" x14ac:dyDescent="0.25">
      <c r="A93" s="5"/>
      <c r="E93" s="6"/>
      <c r="F93" s="6"/>
      <c r="G93" s="6">
        <f>IF(AND(E93="",F93=""),"",G92+IF(E93="",0,E93)-IF(F93="",0,F93))</f>
      </c>
      <c r="H93">
        <f>IF(A93="","",TEXT(A93,"yyyy-mm"))</f>
      </c>
    </row>
    <row r="94" ht="18" customHeight="1" spans="1:8" x14ac:dyDescent="0.25">
      <c r="A94" s="5"/>
      <c r="E94" s="6"/>
      <c r="F94" s="6"/>
      <c r="G94" s="6">
        <f>IF(AND(E94="",F94=""),"",G93+IF(E94="",0,E94)-IF(F94="",0,F94))</f>
      </c>
      <c r="H94">
        <f>IF(A94="","",TEXT(A94,"yyyy-mm"))</f>
      </c>
    </row>
    <row r="95" ht="18" customHeight="1" spans="1:8" x14ac:dyDescent="0.25">
      <c r="A95" s="5"/>
      <c r="E95" s="6"/>
      <c r="F95" s="6"/>
      <c r="G95" s="6">
        <f>IF(AND(E95="",F95=""),"",G94+IF(E95="",0,E95)-IF(F95="",0,F95))</f>
      </c>
      <c r="H95">
        <f>IF(A95="","",TEXT(A95,"yyyy-mm"))</f>
      </c>
    </row>
    <row r="96" ht="18" customHeight="1" spans="1:8" x14ac:dyDescent="0.25">
      <c r="A96" s="5"/>
      <c r="E96" s="6"/>
      <c r="F96" s="6"/>
      <c r="G96" s="6">
        <f>IF(AND(E96="",F96=""),"",G95+IF(E96="",0,E96)-IF(F96="",0,F96))</f>
      </c>
      <c r="H96">
        <f>IF(A96="","",TEXT(A96,"yyyy-mm"))</f>
      </c>
    </row>
    <row r="97" ht="18" customHeight="1" spans="1:8" x14ac:dyDescent="0.25">
      <c r="A97" s="5"/>
      <c r="E97" s="6"/>
      <c r="F97" s="6"/>
      <c r="G97" s="6">
        <f>IF(AND(E97="",F97=""),"",G96+IF(E97="",0,E97)-IF(F97="",0,F97))</f>
      </c>
      <c r="H97">
        <f>IF(A97="","",TEXT(A97,"yyyy-mm"))</f>
      </c>
    </row>
    <row r="98" ht="18" customHeight="1" spans="1:8" x14ac:dyDescent="0.25">
      <c r="A98" s="5"/>
      <c r="E98" s="6"/>
      <c r="F98" s="6"/>
      <c r="G98" s="6">
        <f>IF(AND(E98="",F98=""),"",G97+IF(E98="",0,E98)-IF(F98="",0,F98))</f>
      </c>
      <c r="H98">
        <f>IF(A98="","",TEXT(A98,"yyyy-mm"))</f>
      </c>
    </row>
    <row r="99" ht="18" customHeight="1" spans="1:8" x14ac:dyDescent="0.25">
      <c r="A99" s="5"/>
      <c r="E99" s="6"/>
      <c r="F99" s="6"/>
      <c r="G99" s="6">
        <f>IF(AND(E99="",F99=""),"",G98+IF(E99="",0,E99)-IF(F99="",0,F99))</f>
      </c>
      <c r="H99">
        <f>IF(A99="","",TEXT(A99,"yyyy-mm"))</f>
      </c>
    </row>
    <row r="100" ht="18" customHeight="1" spans="1:8" x14ac:dyDescent="0.25">
      <c r="A100" s="5"/>
      <c r="E100" s="6"/>
      <c r="F100" s="6"/>
      <c r="G100" s="6">
        <f>IF(AND(E100="",F100=""),"",G99+IF(E100="",0,E100)-IF(F100="",0,F100))</f>
      </c>
      <c r="H100">
        <f>IF(A100="","",TEXT(A100,"yyyy-mm"))</f>
      </c>
    </row>
    <row r="101" ht="18" customHeight="1" spans="1:8" x14ac:dyDescent="0.25">
      <c r="A101" s="5"/>
      <c r="E101" s="6"/>
      <c r="F101" s="6"/>
      <c r="G101" s="6">
        <f>IF(AND(E101="",F101=""),"",G100+IF(E101="",0,E101)-IF(F101="",0,F101))</f>
      </c>
      <c r="H101">
        <f>IF(A101="","",TEXT(A101,"yyyy-mm"))</f>
      </c>
    </row>
    <row r="102" ht="18" customHeight="1" spans="1:8" x14ac:dyDescent="0.25">
      <c r="A102" s="5"/>
      <c r="E102" s="6"/>
      <c r="F102" s="6"/>
      <c r="G102" s="6">
        <f>IF(AND(E102="",F102=""),"",G101+IF(E102="",0,E102)-IF(F102="",0,F102))</f>
      </c>
      <c r="H102">
        <f>IF(A102="","",TEXT(A102,"yyyy-mm"))</f>
      </c>
    </row>
    <row r="103" ht="18" customHeight="1" spans="1:8" x14ac:dyDescent="0.25">
      <c r="A103" s="5"/>
      <c r="E103" s="6"/>
      <c r="F103" s="6"/>
      <c r="G103" s="6">
        <f>IF(AND(E103="",F103=""),"",G102+IF(E103="",0,E103)-IF(F103="",0,F103))</f>
      </c>
      <c r="H103">
        <f>IF(A103="","",TEXT(A103,"yyyy-mm"))</f>
      </c>
    </row>
    <row r="104" ht="18" customHeight="1" spans="1:8" x14ac:dyDescent="0.25">
      <c r="A104" s="5"/>
      <c r="E104" s="6"/>
      <c r="F104" s="6"/>
      <c r="G104" s="6">
        <f>IF(AND(E104="",F104=""),"",G103+IF(E104="",0,E104)-IF(F104="",0,F104))</f>
      </c>
      <c r="H104">
        <f>IF(A104="","",TEXT(A104,"yyyy-mm"))</f>
      </c>
    </row>
    <row r="105" ht="18" customHeight="1" spans="1:8" x14ac:dyDescent="0.25">
      <c r="A105" s="5"/>
      <c r="E105" s="6"/>
      <c r="F105" s="6"/>
      <c r="G105" s="6">
        <f>IF(AND(E105="",F105=""),"",G104+IF(E105="",0,E105)-IF(F105="",0,F105))</f>
      </c>
      <c r="H105">
        <f>IF(A105="","",TEXT(A105,"yyyy-mm"))</f>
      </c>
    </row>
    <row r="106" ht="18" customHeight="1" spans="1:8" x14ac:dyDescent="0.25">
      <c r="A106" s="5"/>
      <c r="E106" s="6"/>
      <c r="F106" s="6"/>
      <c r="G106" s="6">
        <f>IF(AND(E106="",F106=""),"",G105+IF(E106="",0,E106)-IF(F106="",0,F106))</f>
      </c>
      <c r="H106">
        <f>IF(A106="","",TEXT(A106,"yyyy-mm"))</f>
      </c>
    </row>
    <row r="107" ht="18" customHeight="1" spans="1:8" x14ac:dyDescent="0.25">
      <c r="A107" s="5"/>
      <c r="E107" s="6"/>
      <c r="F107" s="6"/>
      <c r="G107" s="6">
        <f>IF(AND(E107="",F107=""),"",G106+IF(E107="",0,E107)-IF(F107="",0,F107))</f>
      </c>
      <c r="H107">
        <f>IF(A107="","",TEXT(A107,"yyyy-mm"))</f>
      </c>
    </row>
    <row r="108" ht="18" customHeight="1" spans="1:8" x14ac:dyDescent="0.25">
      <c r="A108" s="5"/>
      <c r="E108" s="6"/>
      <c r="F108" s="6"/>
      <c r="G108" s="6">
        <f>IF(AND(E108="",F108=""),"",G107+IF(E108="",0,E108)-IF(F108="",0,F108))</f>
      </c>
      <c r="H108">
        <f>IF(A108="","",TEXT(A108,"yyyy-mm"))</f>
      </c>
    </row>
    <row r="109" ht="18" customHeight="1" spans="1:8" x14ac:dyDescent="0.25">
      <c r="A109" s="5"/>
      <c r="E109" s="6"/>
      <c r="F109" s="6"/>
      <c r="G109" s="6">
        <f>IF(AND(E109="",F109=""),"",G108+IF(E109="",0,E109)-IF(F109="",0,F109))</f>
      </c>
      <c r="H109">
        <f>IF(A109="","",TEXT(A109,"yyyy-mm"))</f>
      </c>
    </row>
    <row r="110" ht="18" customHeight="1" spans="1:8" x14ac:dyDescent="0.25">
      <c r="A110" s="5"/>
      <c r="E110" s="6"/>
      <c r="F110" s="6"/>
      <c r="G110" s="6">
        <f>IF(AND(E110="",F110=""),"",G109+IF(E110="",0,E110)-IF(F110="",0,F110))</f>
      </c>
      <c r="H110">
        <f>IF(A110="","",TEXT(A110,"yyyy-mm"))</f>
      </c>
    </row>
    <row r="111" ht="18" customHeight="1" spans="1:8" x14ac:dyDescent="0.25">
      <c r="A111" s="5"/>
      <c r="E111" s="6"/>
      <c r="F111" s="6"/>
      <c r="G111" s="6">
        <f>IF(AND(E111="",F111=""),"",G110+IF(E111="",0,E111)-IF(F111="",0,F111))</f>
      </c>
      <c r="H111">
        <f>IF(A111="","",TEXT(A111,"yyyy-mm"))</f>
      </c>
    </row>
    <row r="112" ht="18" customHeight="1" spans="1:8" x14ac:dyDescent="0.25">
      <c r="A112" s="5"/>
      <c r="E112" s="6"/>
      <c r="F112" s="6"/>
      <c r="G112" s="6">
        <f>IF(AND(E112="",F112=""),"",G111+IF(E112="",0,E112)-IF(F112="",0,F112))</f>
      </c>
      <c r="H112">
        <f>IF(A112="","",TEXT(A112,"yyyy-mm"))</f>
      </c>
    </row>
    <row r="113" ht="18" customHeight="1" spans="1:8" x14ac:dyDescent="0.25">
      <c r="A113" s="5"/>
      <c r="E113" s="6"/>
      <c r="F113" s="6"/>
      <c r="G113" s="6">
        <f>IF(AND(E113="",F113=""),"",G112+IF(E113="",0,E113)-IF(F113="",0,F113))</f>
      </c>
      <c r="H113">
        <f>IF(A113="","",TEXT(A113,"yyyy-mm"))</f>
      </c>
    </row>
    <row r="114" ht="18" customHeight="1" spans="1:8" x14ac:dyDescent="0.25">
      <c r="A114" s="5"/>
      <c r="E114" s="6"/>
      <c r="F114" s="6"/>
      <c r="G114" s="6">
        <f>IF(AND(E114="",F114=""),"",G113+IF(E114="",0,E114)-IF(F114="",0,F114))</f>
      </c>
      <c r="H114">
        <f>IF(A114="","",TEXT(A114,"yyyy-mm"))</f>
      </c>
    </row>
    <row r="115" ht="18" customHeight="1" spans="1:8" x14ac:dyDescent="0.25">
      <c r="A115" s="5"/>
      <c r="E115" s="6"/>
      <c r="F115" s="6"/>
      <c r="G115" s="6">
        <f>IF(AND(E115="",F115=""),"",G114+IF(E115="",0,E115)-IF(F115="",0,F115))</f>
      </c>
      <c r="H115">
        <f>IF(A115="","",TEXT(A115,"yyyy-mm"))</f>
      </c>
    </row>
    <row r="116" ht="18" customHeight="1" spans="1:8" x14ac:dyDescent="0.25">
      <c r="A116" s="5"/>
      <c r="E116" s="6"/>
      <c r="F116" s="6"/>
      <c r="G116" s="6">
        <f>IF(AND(E116="",F116=""),"",G115+IF(E116="",0,E116)-IF(F116="",0,F116))</f>
      </c>
      <c r="H116">
        <f>IF(A116="","",TEXT(A116,"yyyy-mm"))</f>
      </c>
    </row>
    <row r="117" ht="18" customHeight="1" spans="1:8" x14ac:dyDescent="0.25">
      <c r="A117" s="5"/>
      <c r="E117" s="6"/>
      <c r="F117" s="6"/>
      <c r="G117" s="6">
        <f>IF(AND(E117="",F117=""),"",G116+IF(E117="",0,E117)-IF(F117="",0,F117))</f>
      </c>
      <c r="H117">
        <f>IF(A117="","",TEXT(A117,"yyyy-mm"))</f>
      </c>
    </row>
    <row r="118" ht="18" customHeight="1" spans="1:8" x14ac:dyDescent="0.25">
      <c r="A118" s="5"/>
      <c r="E118" s="6"/>
      <c r="F118" s="6"/>
      <c r="G118" s="6">
        <f>IF(AND(E118="",F118=""),"",G117+IF(E118="",0,E118)-IF(F118="",0,F118))</f>
      </c>
      <c r="H118">
        <f>IF(A118="","",TEXT(A118,"yyyy-mm"))</f>
      </c>
    </row>
    <row r="119" ht="18" customHeight="1" spans="1:8" x14ac:dyDescent="0.25">
      <c r="A119" s="5"/>
      <c r="E119" s="6"/>
      <c r="F119" s="6"/>
      <c r="G119" s="6">
        <f>IF(AND(E119="",F119=""),"",G118+IF(E119="",0,E119)-IF(F119="",0,F119))</f>
      </c>
      <c r="H119">
        <f>IF(A119="","",TEXT(A119,"yyyy-mm"))</f>
      </c>
    </row>
    <row r="120" ht="18" customHeight="1" spans="1:8" x14ac:dyDescent="0.25">
      <c r="A120" s="5"/>
      <c r="E120" s="6"/>
      <c r="F120" s="6"/>
      <c r="G120" s="6">
        <f>IF(AND(E120="",F120=""),"",G119+IF(E120="",0,E120)-IF(F120="",0,F120))</f>
      </c>
      <c r="H120">
        <f>IF(A120="","",TEXT(A120,"yyyy-mm"))</f>
      </c>
    </row>
    <row r="121" ht="18" customHeight="1" spans="1:8" x14ac:dyDescent="0.25">
      <c r="A121" s="5"/>
      <c r="E121" s="6"/>
      <c r="F121" s="6"/>
      <c r="G121" s="6">
        <f>IF(AND(E121="",F121=""),"",G120+IF(E121="",0,E121)-IF(F121="",0,F121))</f>
      </c>
      <c r="H121">
        <f>IF(A121="","",TEXT(A121,"yyyy-mm"))</f>
      </c>
    </row>
    <row r="122" ht="18" customHeight="1" spans="1:8" x14ac:dyDescent="0.25">
      <c r="A122" s="5"/>
      <c r="E122" s="6"/>
      <c r="F122" s="6"/>
      <c r="G122" s="6">
        <f>IF(AND(E122="",F122=""),"",G121+IF(E122="",0,E122)-IF(F122="",0,F122))</f>
      </c>
      <c r="H122">
        <f>IF(A122="","",TEXT(A122,"yyyy-mm"))</f>
      </c>
    </row>
    <row r="123" ht="18" customHeight="1" spans="1:8" x14ac:dyDescent="0.25">
      <c r="A123" s="5"/>
      <c r="E123" s="6"/>
      <c r="F123" s="6"/>
      <c r="G123" s="6">
        <f>IF(AND(E123="",F123=""),"",G122+IF(E123="",0,E123)-IF(F123="",0,F123))</f>
      </c>
      <c r="H123">
        <f>IF(A123="","",TEXT(A123,"yyyy-mm"))</f>
      </c>
    </row>
    <row r="124" ht="18" customHeight="1" spans="1:8" x14ac:dyDescent="0.25">
      <c r="A124" s="5"/>
      <c r="E124" s="6"/>
      <c r="F124" s="6"/>
      <c r="G124" s="6">
        <f>IF(AND(E124="",F124=""),"",G123+IF(E124="",0,E124)-IF(F124="",0,F124))</f>
      </c>
      <c r="H124">
        <f>IF(A124="","",TEXT(A124,"yyyy-mm"))</f>
      </c>
    </row>
    <row r="125" ht="18" customHeight="1" spans="1:8" x14ac:dyDescent="0.25">
      <c r="A125" s="5"/>
      <c r="E125" s="6"/>
      <c r="F125" s="6"/>
      <c r="G125" s="6">
        <f>IF(AND(E125="",F125=""),"",G124+IF(E125="",0,E125)-IF(F125="",0,F125))</f>
      </c>
      <c r="H125">
        <f>IF(A125="","",TEXT(A125,"yyyy-mm"))</f>
      </c>
    </row>
    <row r="126" ht="18" customHeight="1" spans="1:8" x14ac:dyDescent="0.25">
      <c r="A126" s="5"/>
      <c r="E126" s="6"/>
      <c r="F126" s="6"/>
      <c r="G126" s="6">
        <f>IF(AND(E126="",F126=""),"",G125+IF(E126="",0,E126)-IF(F126="",0,F126))</f>
      </c>
      <c r="H126">
        <f>IF(A126="","",TEXT(A126,"yyyy-mm"))</f>
      </c>
    </row>
    <row r="127" ht="18" customHeight="1" spans="1:8" x14ac:dyDescent="0.25">
      <c r="A127" s="5"/>
      <c r="E127" s="6"/>
      <c r="F127" s="6"/>
      <c r="G127" s="6">
        <f>IF(AND(E127="",F127=""),"",G126+IF(E127="",0,E127)-IF(F127="",0,F127))</f>
      </c>
      <c r="H127">
        <f>IF(A127="","",TEXT(A127,"yyyy-mm"))</f>
      </c>
    </row>
    <row r="128" ht="18" customHeight="1" spans="1:8" x14ac:dyDescent="0.25">
      <c r="A128" s="5"/>
      <c r="E128" s="6"/>
      <c r="F128" s="6"/>
      <c r="G128" s="6">
        <f>IF(AND(E128="",F128=""),"",G127+IF(E128="",0,E128)-IF(F128="",0,F128))</f>
      </c>
      <c r="H128">
        <f>IF(A128="","",TEXT(A128,"yyyy-mm"))</f>
      </c>
    </row>
    <row r="129" ht="18" customHeight="1" spans="1:8" x14ac:dyDescent="0.25">
      <c r="A129" s="5"/>
      <c r="E129" s="6"/>
      <c r="F129" s="6"/>
      <c r="G129" s="6">
        <f>IF(AND(E129="",F129=""),"",G128+IF(E129="",0,E129)-IF(F129="",0,F129))</f>
      </c>
      <c r="H129">
        <f>IF(A129="","",TEXT(A129,"yyyy-mm"))</f>
      </c>
    </row>
    <row r="130" ht="18" customHeight="1" spans="1:8" x14ac:dyDescent="0.25">
      <c r="A130" s="5"/>
      <c r="E130" s="6"/>
      <c r="F130" s="6"/>
      <c r="G130" s="6">
        <f>IF(AND(E130="",F130=""),"",G129+IF(E130="",0,E130)-IF(F130="",0,F130))</f>
      </c>
      <c r="H130">
        <f>IF(A130="","",TEXT(A130,"yyyy-mm"))</f>
      </c>
    </row>
    <row r="131" ht="18" customHeight="1" spans="1:8" x14ac:dyDescent="0.25">
      <c r="A131" s="5"/>
      <c r="E131" s="6"/>
      <c r="F131" s="6"/>
      <c r="G131" s="6">
        <f>IF(AND(E131="",F131=""),"",G130+IF(E131="",0,E131)-IF(F131="",0,F131))</f>
      </c>
      <c r="H131">
        <f>IF(A131="","",TEXT(A131,"yyyy-mm"))</f>
      </c>
    </row>
    <row r="132" ht="18" customHeight="1" spans="1:8" x14ac:dyDescent="0.25">
      <c r="A132" s="5"/>
      <c r="E132" s="6"/>
      <c r="F132" s="6"/>
      <c r="G132" s="6">
        <f>IF(AND(E132="",F132=""),"",G131+IF(E132="",0,E132)-IF(F132="",0,F132))</f>
      </c>
      <c r="H132">
        <f>IF(A132="","",TEXT(A132,"yyyy-mm"))</f>
      </c>
    </row>
    <row r="133" ht="18" customHeight="1" spans="1:8" x14ac:dyDescent="0.25">
      <c r="A133" s="5"/>
      <c r="E133" s="6"/>
      <c r="F133" s="6"/>
      <c r="G133" s="6">
        <f>IF(AND(E133="",F133=""),"",G132+IF(E133="",0,E133)-IF(F133="",0,F133))</f>
      </c>
      <c r="H133">
        <f>IF(A133="","",TEXT(A133,"yyyy-mm"))</f>
      </c>
    </row>
    <row r="134" ht="18" customHeight="1" spans="1:8" x14ac:dyDescent="0.25">
      <c r="A134" s="5"/>
      <c r="E134" s="6"/>
      <c r="F134" s="6"/>
      <c r="G134" s="6">
        <f>IF(AND(E134="",F134=""),"",G133+IF(E134="",0,E134)-IF(F134="",0,F134))</f>
      </c>
      <c r="H134">
        <f>IF(A134="","",TEXT(A134,"yyyy-mm"))</f>
      </c>
    </row>
    <row r="135" ht="18" customHeight="1" spans="1:8" x14ac:dyDescent="0.25">
      <c r="A135" s="5"/>
      <c r="E135" s="6"/>
      <c r="F135" s="6"/>
      <c r="G135" s="6">
        <f>IF(AND(E135="",F135=""),"",G134+IF(E135="",0,E135)-IF(F135="",0,F135))</f>
      </c>
      <c r="H135">
        <f>IF(A135="","",TEXT(A135,"yyyy-mm"))</f>
      </c>
    </row>
    <row r="136" ht="18" customHeight="1" spans="1:8" x14ac:dyDescent="0.25">
      <c r="A136" s="5"/>
      <c r="E136" s="6"/>
      <c r="F136" s="6"/>
      <c r="G136" s="6">
        <f>IF(AND(E136="",F136=""),"",G135+IF(E136="",0,E136)-IF(F136="",0,F136))</f>
      </c>
      <c r="H136">
        <f>IF(A136="","",TEXT(A136,"yyyy-mm"))</f>
      </c>
    </row>
    <row r="137" ht="18" customHeight="1" spans="1:8" x14ac:dyDescent="0.25">
      <c r="A137" s="5"/>
      <c r="E137" s="6"/>
      <c r="F137" s="6"/>
      <c r="G137" s="6">
        <f>IF(AND(E137="",F137=""),"",G136+IF(E137="",0,E137)-IF(F137="",0,F137))</f>
      </c>
      <c r="H137">
        <f>IF(A137="","",TEXT(A137,"yyyy-mm"))</f>
      </c>
    </row>
    <row r="138" ht="18" customHeight="1" spans="1:8" x14ac:dyDescent="0.25">
      <c r="A138" s="5"/>
      <c r="E138" s="6"/>
      <c r="F138" s="6"/>
      <c r="G138" s="6">
        <f>IF(AND(E138="",F138=""),"",G137+IF(E138="",0,E138)-IF(F138="",0,F138))</f>
      </c>
      <c r="H138">
        <f>IF(A138="","",TEXT(A138,"yyyy-mm"))</f>
      </c>
    </row>
    <row r="139" ht="18" customHeight="1" spans="1:8" x14ac:dyDescent="0.25">
      <c r="A139" s="5"/>
      <c r="E139" s="6"/>
      <c r="F139" s="6"/>
      <c r="G139" s="6">
        <f>IF(AND(E139="",F139=""),"",G138+IF(E139="",0,E139)-IF(F139="",0,F139))</f>
      </c>
      <c r="H139">
        <f>IF(A139="","",TEXT(A139,"yyyy-mm"))</f>
      </c>
    </row>
    <row r="140" ht="18" customHeight="1" spans="1:8" x14ac:dyDescent="0.25">
      <c r="A140" s="5"/>
      <c r="E140" s="6"/>
      <c r="F140" s="6"/>
      <c r="G140" s="6">
        <f>IF(AND(E140="",F140=""),"",G139+IF(E140="",0,E140)-IF(F140="",0,F140))</f>
      </c>
      <c r="H140">
        <f>IF(A140="","",TEXT(A140,"yyyy-mm"))</f>
      </c>
    </row>
    <row r="141" ht="18" customHeight="1" spans="1:8" x14ac:dyDescent="0.25">
      <c r="A141" s="5"/>
      <c r="E141" s="6"/>
      <c r="F141" s="6"/>
      <c r="G141" s="6">
        <f>IF(AND(E141="",F141=""),"",G140+IF(E141="",0,E141)-IF(F141="",0,F141))</f>
      </c>
      <c r="H141">
        <f>IF(A141="","",TEXT(A141,"yyyy-mm"))</f>
      </c>
    </row>
    <row r="142" ht="18" customHeight="1" spans="1:8" x14ac:dyDescent="0.25">
      <c r="A142" s="5"/>
      <c r="E142" s="6"/>
      <c r="F142" s="6"/>
      <c r="G142" s="6">
        <f>IF(AND(E142="",F142=""),"",G141+IF(E142="",0,E142)-IF(F142="",0,F142))</f>
      </c>
      <c r="H142">
        <f>IF(A142="","",TEXT(A142,"yyyy-mm"))</f>
      </c>
    </row>
    <row r="143" ht="18" customHeight="1" spans="1:8" x14ac:dyDescent="0.25">
      <c r="A143" s="5"/>
      <c r="E143" s="6"/>
      <c r="F143" s="6"/>
      <c r="G143" s="6">
        <f>IF(AND(E143="",F143=""),"",G142+IF(E143="",0,E143)-IF(F143="",0,F143))</f>
      </c>
      <c r="H143">
        <f>IF(A143="","",TEXT(A143,"yyyy-mm"))</f>
      </c>
    </row>
    <row r="144" ht="18" customHeight="1" spans="1:8" x14ac:dyDescent="0.25">
      <c r="A144" s="5"/>
      <c r="E144" s="6"/>
      <c r="F144" s="6"/>
      <c r="G144" s="6">
        <f>IF(AND(E144="",F144=""),"",G143+IF(E144="",0,E144)-IF(F144="",0,F144))</f>
      </c>
      <c r="H144">
        <f>IF(A144="","",TEXT(A144,"yyyy-mm"))</f>
      </c>
    </row>
    <row r="145" ht="18" customHeight="1" spans="1:8" x14ac:dyDescent="0.25">
      <c r="A145" s="5"/>
      <c r="E145" s="6"/>
      <c r="F145" s="6"/>
      <c r="G145" s="6">
        <f>IF(AND(E145="",F145=""),"",G144+IF(E145="",0,E145)-IF(F145="",0,F145))</f>
      </c>
      <c r="H145">
        <f>IF(A145="","",TEXT(A145,"yyyy-mm"))</f>
      </c>
    </row>
    <row r="146" ht="18" customHeight="1" spans="1:8" x14ac:dyDescent="0.25">
      <c r="A146" s="5"/>
      <c r="E146" s="6"/>
      <c r="F146" s="6"/>
      <c r="G146" s="6">
        <f>IF(AND(E146="",F146=""),"",G145+IF(E146="",0,E146)-IF(F146="",0,F146))</f>
      </c>
      <c r="H146">
        <f>IF(A146="","",TEXT(A146,"yyyy-mm"))</f>
      </c>
    </row>
    <row r="147" ht="18" customHeight="1" spans="1:8" x14ac:dyDescent="0.25">
      <c r="A147" s="5"/>
      <c r="E147" s="6"/>
      <c r="F147" s="6"/>
      <c r="G147" s="6">
        <f>IF(AND(E147="",F147=""),"",G146+IF(E147="",0,E147)-IF(F147="",0,F147))</f>
      </c>
      <c r="H147">
        <f>IF(A147="","",TEXT(A147,"yyyy-mm"))</f>
      </c>
    </row>
    <row r="148" ht="18" customHeight="1" spans="1:8" x14ac:dyDescent="0.25">
      <c r="A148" s="5"/>
      <c r="E148" s="6"/>
      <c r="F148" s="6"/>
      <c r="G148" s="6">
        <f>IF(AND(E148="",F148=""),"",G147+IF(E148="",0,E148)-IF(F148="",0,F148))</f>
      </c>
      <c r="H148">
        <f>IF(A148="","",TEXT(A148,"yyyy-mm"))</f>
      </c>
    </row>
    <row r="149" ht="18" customHeight="1" spans="1:8" x14ac:dyDescent="0.25">
      <c r="A149" s="5"/>
      <c r="E149" s="6"/>
      <c r="F149" s="6"/>
      <c r="G149" s="6">
        <f>IF(AND(E149="",F149=""),"",G148+IF(E149="",0,E149)-IF(F149="",0,F149))</f>
      </c>
      <c r="H149">
        <f>IF(A149="","",TEXT(A149,"yyyy-mm"))</f>
      </c>
    </row>
    <row r="150" ht="18" customHeight="1" spans="1:8" x14ac:dyDescent="0.25">
      <c r="A150" s="5"/>
      <c r="E150" s="6"/>
      <c r="F150" s="6"/>
      <c r="G150" s="6">
        <f>IF(AND(E150="",F150=""),"",G149+IF(E150="",0,E150)-IF(F150="",0,F150))</f>
      </c>
      <c r="H150">
        <f>IF(A150="","",TEXT(A150,"yyyy-mm"))</f>
      </c>
    </row>
    <row r="151" ht="18" customHeight="1" spans="1:8" x14ac:dyDescent="0.25">
      <c r="A151" s="5"/>
      <c r="E151" s="6"/>
      <c r="F151" s="6"/>
      <c r="G151" s="6">
        <f>IF(AND(E151="",F151=""),"",G150+IF(E151="",0,E151)-IF(F151="",0,F151))</f>
      </c>
      <c r="H151">
        <f>IF(A151="","",TEXT(A151,"yyyy-mm"))</f>
      </c>
    </row>
    <row r="152" ht="18" customHeight="1" spans="1:8" x14ac:dyDescent="0.25">
      <c r="A152" s="5"/>
      <c r="E152" s="6"/>
      <c r="F152" s="6"/>
      <c r="G152" s="6">
        <f>IF(AND(E152="",F152=""),"",G151+IF(E152="",0,E152)-IF(F152="",0,F152))</f>
      </c>
      <c r="H152">
        <f>IF(A152="","",TEXT(A152,"yyyy-mm"))</f>
      </c>
    </row>
    <row r="153" ht="18" customHeight="1" spans="1:8" x14ac:dyDescent="0.25">
      <c r="A153" s="5"/>
      <c r="E153" s="6"/>
      <c r="F153" s="6"/>
      <c r="G153" s="6">
        <f>IF(AND(E153="",F153=""),"",G152+IF(E153="",0,E153)-IF(F153="",0,F153))</f>
      </c>
      <c r="H153">
        <f>IF(A153="","",TEXT(A153,"yyyy-mm"))</f>
      </c>
    </row>
    <row r="154" ht="18" customHeight="1" spans="1:8" x14ac:dyDescent="0.25">
      <c r="A154" s="5"/>
      <c r="E154" s="6"/>
      <c r="F154" s="6"/>
      <c r="G154" s="6">
        <f>IF(AND(E154="",F154=""),"",G153+IF(E154="",0,E154)-IF(F154="",0,F154))</f>
      </c>
      <c r="H154">
        <f>IF(A154="","",TEXT(A154,"yyyy-mm"))</f>
      </c>
    </row>
    <row r="155" ht="18" customHeight="1" spans="1:8" x14ac:dyDescent="0.25">
      <c r="A155" s="5"/>
      <c r="E155" s="6"/>
      <c r="F155" s="6"/>
      <c r="G155" s="6">
        <f>IF(AND(E155="",F155=""),"",G154+IF(E155="",0,E155)-IF(F155="",0,F155))</f>
      </c>
      <c r="H155">
        <f>IF(A155="","",TEXT(A155,"yyyy-mm"))</f>
      </c>
    </row>
    <row r="156" ht="18" customHeight="1" spans="1:8" x14ac:dyDescent="0.25">
      <c r="A156" s="5"/>
      <c r="E156" s="6"/>
      <c r="F156" s="6"/>
      <c r="G156" s="6">
        <f>IF(AND(E156="",F156=""),"",G155+IF(E156="",0,E156)-IF(F156="",0,F156))</f>
      </c>
      <c r="H156">
        <f>IF(A156="","",TEXT(A156,"yyyy-mm"))</f>
      </c>
    </row>
    <row r="157" ht="18" customHeight="1" spans="1:8" x14ac:dyDescent="0.25">
      <c r="A157" s="5"/>
      <c r="E157" s="6"/>
      <c r="F157" s="6"/>
      <c r="G157" s="6">
        <f>IF(AND(E157="",F157=""),"",G156+IF(E157="",0,E157)-IF(F157="",0,F157))</f>
      </c>
      <c r="H157">
        <f>IF(A157="","",TEXT(A157,"yyyy-mm"))</f>
      </c>
    </row>
    <row r="158" ht="18" customHeight="1" spans="1:8" x14ac:dyDescent="0.25">
      <c r="A158" s="5"/>
      <c r="E158" s="6"/>
      <c r="F158" s="6"/>
      <c r="G158" s="6">
        <f>IF(AND(E158="",F158=""),"",G157+IF(E158="",0,E158)-IF(F158="",0,F158))</f>
      </c>
      <c r="H158">
        <f>IF(A158="","",TEXT(A158,"yyyy-mm"))</f>
      </c>
    </row>
    <row r="159" ht="18" customHeight="1" spans="1:8" x14ac:dyDescent="0.25">
      <c r="A159" s="5"/>
      <c r="E159" s="6"/>
      <c r="F159" s="6"/>
      <c r="G159" s="6">
        <f>IF(AND(E159="",F159=""),"",G158+IF(E159="",0,E159)-IF(F159="",0,F159))</f>
      </c>
      <c r="H159">
        <f>IF(A159="","",TEXT(A159,"yyyy-mm"))</f>
      </c>
    </row>
    <row r="160" ht="18" customHeight="1" spans="1:8" x14ac:dyDescent="0.25">
      <c r="A160" s="5"/>
      <c r="E160" s="6"/>
      <c r="F160" s="6"/>
      <c r="G160" s="6">
        <f>IF(AND(E160="",F160=""),"",G159+IF(E160="",0,E160)-IF(F160="",0,F160))</f>
      </c>
      <c r="H160">
        <f>IF(A160="","",TEXT(A160,"yyyy-mm"))</f>
      </c>
    </row>
    <row r="161" ht="18" customHeight="1" spans="1:8" x14ac:dyDescent="0.25">
      <c r="A161" s="5"/>
      <c r="E161" s="6"/>
      <c r="F161" s="6"/>
      <c r="G161" s="6">
        <f>IF(AND(E161="",F161=""),"",G160+IF(E161="",0,E161)-IF(F161="",0,F161))</f>
      </c>
      <c r="H161">
        <f>IF(A161="","",TEXT(A161,"yyyy-mm"))</f>
      </c>
    </row>
    <row r="162" ht="18" customHeight="1" spans="1:8" x14ac:dyDescent="0.25">
      <c r="A162" s="5"/>
      <c r="E162" s="6"/>
      <c r="F162" s="6"/>
      <c r="G162" s="6">
        <f>IF(AND(E162="",F162=""),"",G161+IF(E162="",0,E162)-IF(F162="",0,F162))</f>
      </c>
      <c r="H162">
        <f>IF(A162="","",TEXT(A162,"yyyy-mm"))</f>
      </c>
    </row>
    <row r="163" ht="18" customHeight="1" spans="1:8" x14ac:dyDescent="0.25">
      <c r="A163" s="5"/>
      <c r="E163" s="6"/>
      <c r="F163" s="6"/>
      <c r="G163" s="6">
        <f>IF(AND(E163="",F163=""),"",G162+IF(E163="",0,E163)-IF(F163="",0,F163))</f>
      </c>
      <c r="H163">
        <f>IF(A163="","",TEXT(A163,"yyyy-mm"))</f>
      </c>
    </row>
    <row r="164" ht="18" customHeight="1" spans="1:8" x14ac:dyDescent="0.25">
      <c r="A164" s="5"/>
      <c r="E164" s="6"/>
      <c r="F164" s="6"/>
      <c r="G164" s="6">
        <f>IF(AND(E164="",F164=""),"",G163+IF(E164="",0,E164)-IF(F164="",0,F164))</f>
      </c>
      <c r="H164">
        <f>IF(A164="","",TEXT(A164,"yyyy-mm"))</f>
      </c>
    </row>
    <row r="165" ht="18" customHeight="1" spans="1:8" x14ac:dyDescent="0.25">
      <c r="A165" s="5"/>
      <c r="E165" s="6"/>
      <c r="F165" s="6"/>
      <c r="G165" s="6">
        <f>IF(AND(E165="",F165=""),"",G164+IF(E165="",0,E165)-IF(F165="",0,F165))</f>
      </c>
      <c r="H165">
        <f>IF(A165="","",TEXT(A165,"yyyy-mm"))</f>
      </c>
    </row>
    <row r="166" ht="18" customHeight="1" spans="1:8" x14ac:dyDescent="0.25">
      <c r="A166" s="5"/>
      <c r="E166" s="6"/>
      <c r="F166" s="6"/>
      <c r="G166" s="6">
        <f>IF(AND(E166="",F166=""),"",G165+IF(E166="",0,E166)-IF(F166="",0,F166))</f>
      </c>
      <c r="H166">
        <f>IF(A166="","",TEXT(A166,"yyyy-mm"))</f>
      </c>
    </row>
    <row r="167" ht="18" customHeight="1" spans="1:8" x14ac:dyDescent="0.25">
      <c r="A167" s="5"/>
      <c r="E167" s="6"/>
      <c r="F167" s="6"/>
      <c r="G167" s="6">
        <f>IF(AND(E167="",F167=""),"",G166+IF(E167="",0,E167)-IF(F167="",0,F167))</f>
      </c>
      <c r="H167">
        <f>IF(A167="","",TEXT(A167,"yyyy-mm"))</f>
      </c>
    </row>
    <row r="168" ht="18" customHeight="1" spans="1:8" x14ac:dyDescent="0.25">
      <c r="A168" s="5"/>
      <c r="E168" s="6"/>
      <c r="F168" s="6"/>
      <c r="G168" s="6">
        <f>IF(AND(E168="",F168=""),"",G167+IF(E168="",0,E168)-IF(F168="",0,F168))</f>
      </c>
      <c r="H168">
        <f>IF(A168="","",TEXT(A168,"yyyy-mm"))</f>
      </c>
    </row>
    <row r="169" ht="18" customHeight="1" spans="1:8" x14ac:dyDescent="0.25">
      <c r="A169" s="5"/>
      <c r="E169" s="6"/>
      <c r="F169" s="6"/>
      <c r="G169" s="6">
        <f>IF(AND(E169="",F169=""),"",G168+IF(E169="",0,E169)-IF(F169="",0,F169))</f>
      </c>
      <c r="H169">
        <f>IF(A169="","",TEXT(A169,"yyyy-mm"))</f>
      </c>
    </row>
    <row r="170" ht="18" customHeight="1" spans="1:8" x14ac:dyDescent="0.25">
      <c r="A170" s="5"/>
      <c r="E170" s="6"/>
      <c r="F170" s="6"/>
      <c r="G170" s="6">
        <f>IF(AND(E170="",F170=""),"",G169+IF(E170="",0,E170)-IF(F170="",0,F170))</f>
      </c>
      <c r="H170">
        <f>IF(A170="","",TEXT(A170,"yyyy-mm"))</f>
      </c>
    </row>
    <row r="171" ht="18" customHeight="1" spans="1:8" x14ac:dyDescent="0.25">
      <c r="A171" s="5"/>
      <c r="E171" s="6"/>
      <c r="F171" s="6"/>
      <c r="G171" s="6">
        <f>IF(AND(E171="",F171=""),"",G170+IF(E171="",0,E171)-IF(F171="",0,F171))</f>
      </c>
      <c r="H171">
        <f>IF(A171="","",TEXT(A171,"yyyy-mm"))</f>
      </c>
    </row>
    <row r="172" ht="18" customHeight="1" spans="1:8" x14ac:dyDescent="0.25">
      <c r="A172" s="5"/>
      <c r="E172" s="6"/>
      <c r="F172" s="6"/>
      <c r="G172" s="6">
        <f>IF(AND(E172="",F172=""),"",G171+IF(E172="",0,E172)-IF(F172="",0,F172))</f>
      </c>
      <c r="H172">
        <f>IF(A172="","",TEXT(A172,"yyyy-mm"))</f>
      </c>
    </row>
    <row r="173" ht="18" customHeight="1" spans="1:8" x14ac:dyDescent="0.25">
      <c r="A173" s="5"/>
      <c r="E173" s="6"/>
      <c r="F173" s="6"/>
      <c r="G173" s="6">
        <f>IF(AND(E173="",F173=""),"",G172+IF(E173="",0,E173)-IF(F173="",0,F173))</f>
      </c>
      <c r="H173">
        <f>IF(A173="","",TEXT(A173,"yyyy-mm"))</f>
      </c>
    </row>
    <row r="174" ht="18" customHeight="1" spans="1:8" x14ac:dyDescent="0.25">
      <c r="A174" s="5"/>
      <c r="E174" s="6"/>
      <c r="F174" s="6"/>
      <c r="G174" s="6">
        <f>IF(AND(E174="",F174=""),"",G173+IF(E174="",0,E174)-IF(F174="",0,F174))</f>
      </c>
      <c r="H174">
        <f>IF(A174="","",TEXT(A174,"yyyy-mm"))</f>
      </c>
    </row>
    <row r="175" ht="18" customHeight="1" spans="1:8" x14ac:dyDescent="0.25">
      <c r="A175" s="5"/>
      <c r="E175" s="6"/>
      <c r="F175" s="6"/>
      <c r="G175" s="6">
        <f>IF(AND(E175="",F175=""),"",G174+IF(E175="",0,E175)-IF(F175="",0,F175))</f>
      </c>
      <c r="H175">
        <f>IF(A175="","",TEXT(A175,"yyyy-mm"))</f>
      </c>
    </row>
    <row r="176" ht="18" customHeight="1" spans="1:8" x14ac:dyDescent="0.25">
      <c r="A176" s="5"/>
      <c r="E176" s="6"/>
      <c r="F176" s="6"/>
      <c r="G176" s="6">
        <f>IF(AND(E176="",F176=""),"",G175+IF(E176="",0,E176)-IF(F176="",0,F176))</f>
      </c>
      <c r="H176">
        <f>IF(A176="","",TEXT(A176,"yyyy-mm"))</f>
      </c>
    </row>
    <row r="177" ht="18" customHeight="1" spans="1:8" x14ac:dyDescent="0.25">
      <c r="A177" s="5"/>
      <c r="E177" s="6"/>
      <c r="F177" s="6"/>
      <c r="G177" s="6">
        <f>IF(AND(E177="",F177=""),"",G176+IF(E177="",0,E177)-IF(F177="",0,F177))</f>
      </c>
      <c r="H177">
        <f>IF(A177="","",TEXT(A177,"yyyy-mm"))</f>
      </c>
    </row>
    <row r="178" ht="18" customHeight="1" spans="1:8" x14ac:dyDescent="0.25">
      <c r="A178" s="5"/>
      <c r="E178" s="6"/>
      <c r="F178" s="6"/>
      <c r="G178" s="6">
        <f>IF(AND(E178="",F178=""),"",G177+IF(E178="",0,E178)-IF(F178="",0,F178))</f>
      </c>
      <c r="H178">
        <f>IF(A178="","",TEXT(A178,"yyyy-mm"))</f>
      </c>
    </row>
    <row r="179" ht="18" customHeight="1" spans="1:8" x14ac:dyDescent="0.25">
      <c r="A179" s="5"/>
      <c r="E179" s="6"/>
      <c r="F179" s="6"/>
      <c r="G179" s="6">
        <f>IF(AND(E179="",F179=""),"",G178+IF(E179="",0,E179)-IF(F179="",0,F179))</f>
      </c>
      <c r="H179">
        <f>IF(A179="","",TEXT(A179,"yyyy-mm"))</f>
      </c>
    </row>
    <row r="180" ht="18" customHeight="1" spans="1:8" x14ac:dyDescent="0.25">
      <c r="A180" s="5"/>
      <c r="E180" s="6"/>
      <c r="F180" s="6"/>
      <c r="G180" s="6">
        <f>IF(AND(E180="",F180=""),"",G179+IF(E180="",0,E180)-IF(F180="",0,F180))</f>
      </c>
      <c r="H180">
        <f>IF(A180="","",TEXT(A180,"yyyy-mm"))</f>
      </c>
    </row>
    <row r="181" ht="18" customHeight="1" spans="1:8" x14ac:dyDescent="0.25">
      <c r="A181" s="5"/>
      <c r="E181" s="6"/>
      <c r="F181" s="6"/>
      <c r="G181" s="6">
        <f>IF(AND(E181="",F181=""),"",G180+IF(E181="",0,E181)-IF(F181="",0,F181))</f>
      </c>
      <c r="H181">
        <f>IF(A181="","",TEXT(A181,"yyyy-mm"))</f>
      </c>
    </row>
    <row r="182" ht="18" customHeight="1" spans="1:8" x14ac:dyDescent="0.25">
      <c r="A182" s="5"/>
      <c r="E182" s="6"/>
      <c r="F182" s="6"/>
      <c r="G182" s="6">
        <f>IF(AND(E182="",F182=""),"",G181+IF(E182="",0,E182)-IF(F182="",0,F182))</f>
      </c>
      <c r="H182">
        <f>IF(A182="","",TEXT(A182,"yyyy-mm"))</f>
      </c>
    </row>
    <row r="183" ht="18" customHeight="1" spans="1:8" x14ac:dyDescent="0.25">
      <c r="A183" s="5"/>
      <c r="E183" s="6"/>
      <c r="F183" s="6"/>
      <c r="G183" s="6">
        <f>IF(AND(E183="",F183=""),"",G182+IF(E183="",0,E183)-IF(F183="",0,F183))</f>
      </c>
      <c r="H183">
        <f>IF(A183="","",TEXT(A183,"yyyy-mm"))</f>
      </c>
    </row>
    <row r="184" ht="18" customHeight="1" spans="1:8" x14ac:dyDescent="0.25">
      <c r="A184" s="5"/>
      <c r="E184" s="6"/>
      <c r="F184" s="6"/>
      <c r="G184" s="6">
        <f>IF(AND(E184="",F184=""),"",G183+IF(E184="",0,E184)-IF(F184="",0,F184))</f>
      </c>
      <c r="H184">
        <f>IF(A184="","",TEXT(A184,"yyyy-mm"))</f>
      </c>
    </row>
    <row r="185" ht="18" customHeight="1" spans="1:8" x14ac:dyDescent="0.25">
      <c r="A185" s="5"/>
      <c r="E185" s="6"/>
      <c r="F185" s="6"/>
      <c r="G185" s="6">
        <f>IF(AND(E185="",F185=""),"",G184+IF(E185="",0,E185)-IF(F185="",0,F185))</f>
      </c>
      <c r="H185">
        <f>IF(A185="","",TEXT(A185,"yyyy-mm"))</f>
      </c>
    </row>
    <row r="186" ht="18" customHeight="1" spans="1:8" x14ac:dyDescent="0.25">
      <c r="A186" s="5"/>
      <c r="E186" s="6"/>
      <c r="F186" s="6"/>
      <c r="G186" s="6">
        <f>IF(AND(E186="",F186=""),"",G185+IF(E186="",0,E186)-IF(F186="",0,F186))</f>
      </c>
      <c r="H186">
        <f>IF(A186="","",TEXT(A186,"yyyy-mm"))</f>
      </c>
    </row>
    <row r="187" ht="18" customHeight="1" spans="1:8" x14ac:dyDescent="0.25">
      <c r="A187" s="5"/>
      <c r="E187" s="6"/>
      <c r="F187" s="6"/>
      <c r="G187" s="6">
        <f>IF(AND(E187="",F187=""),"",G186+IF(E187="",0,E187)-IF(F187="",0,F187))</f>
      </c>
      <c r="H187">
        <f>IF(A187="","",TEXT(A187,"yyyy-mm"))</f>
      </c>
    </row>
    <row r="188" ht="18" customHeight="1" spans="1:8" x14ac:dyDescent="0.25">
      <c r="A188" s="5"/>
      <c r="E188" s="6"/>
      <c r="F188" s="6"/>
      <c r="G188" s="6">
        <f>IF(AND(E188="",F188=""),"",G187+IF(E188="",0,E188)-IF(F188="",0,F188))</f>
      </c>
      <c r="H188">
        <f>IF(A188="","",TEXT(A188,"yyyy-mm"))</f>
      </c>
    </row>
    <row r="189" ht="18" customHeight="1" spans="1:8" x14ac:dyDescent="0.25">
      <c r="A189" s="5"/>
      <c r="E189" s="6"/>
      <c r="F189" s="6"/>
      <c r="G189" s="6">
        <f>IF(AND(E189="",F189=""),"",G188+IF(E189="",0,E189)-IF(F189="",0,F189))</f>
      </c>
      <c r="H189">
        <f>IF(A189="","",TEXT(A189,"yyyy-mm"))</f>
      </c>
    </row>
    <row r="190" ht="18" customHeight="1" spans="1:8" x14ac:dyDescent="0.25">
      <c r="A190" s="5"/>
      <c r="E190" s="6"/>
      <c r="F190" s="6"/>
      <c r="G190" s="6">
        <f>IF(AND(E190="",F190=""),"",G189+IF(E190="",0,E190)-IF(F190="",0,F190))</f>
      </c>
      <c r="H190">
        <f>IF(A190="","",TEXT(A190,"yyyy-mm"))</f>
      </c>
    </row>
    <row r="191" ht="18" customHeight="1" spans="1:8" x14ac:dyDescent="0.25">
      <c r="A191" s="5"/>
      <c r="E191" s="6"/>
      <c r="F191" s="6"/>
      <c r="G191" s="6">
        <f>IF(AND(E191="",F191=""),"",G190+IF(E191="",0,E191)-IF(F191="",0,F191))</f>
      </c>
      <c r="H191">
        <f>IF(A191="","",TEXT(A191,"yyyy-mm"))</f>
      </c>
    </row>
    <row r="192" ht="18" customHeight="1" spans="1:8" x14ac:dyDescent="0.25">
      <c r="A192" s="5"/>
      <c r="E192" s="6"/>
      <c r="F192" s="6"/>
      <c r="G192" s="6">
        <f>IF(AND(E192="",F192=""),"",G191+IF(E192="",0,E192)-IF(F192="",0,F192))</f>
      </c>
      <c r="H192">
        <f>IF(A192="","",TEXT(A192,"yyyy-mm"))</f>
      </c>
    </row>
    <row r="193" ht="18" customHeight="1" spans="1:8" x14ac:dyDescent="0.25">
      <c r="A193" s="5"/>
      <c r="E193" s="6"/>
      <c r="F193" s="6"/>
      <c r="G193" s="6">
        <f>IF(AND(E193="",F193=""),"",G192+IF(E193="",0,E193)-IF(F193="",0,F193))</f>
      </c>
      <c r="H193">
        <f>IF(A193="","",TEXT(A193,"yyyy-mm"))</f>
      </c>
    </row>
    <row r="194" ht="18" customHeight="1" spans="1:8" x14ac:dyDescent="0.25">
      <c r="A194" s="5"/>
      <c r="E194" s="6"/>
      <c r="F194" s="6"/>
      <c r="G194" s="6">
        <f>IF(AND(E194="",F194=""),"",G193+IF(E194="",0,E194)-IF(F194="",0,F194))</f>
      </c>
      <c r="H194">
        <f>IF(A194="","",TEXT(A194,"yyyy-mm"))</f>
      </c>
    </row>
    <row r="195" ht="18" customHeight="1" spans="1:8" x14ac:dyDescent="0.25">
      <c r="A195" s="5"/>
      <c r="E195" s="6"/>
      <c r="F195" s="6"/>
      <c r="G195" s="6">
        <f>IF(AND(E195="",F195=""),"",G194+IF(E195="",0,E195)-IF(F195="",0,F195))</f>
      </c>
      <c r="H195">
        <f>IF(A195="","",TEXT(A195,"yyyy-mm"))</f>
      </c>
    </row>
    <row r="196" ht="18" customHeight="1" spans="1:8" x14ac:dyDescent="0.25">
      <c r="A196" s="5"/>
      <c r="E196" s="6"/>
      <c r="F196" s="6"/>
      <c r="G196" s="6">
        <f>IF(AND(E196="",F196=""),"",G195+IF(E196="",0,E196)-IF(F196="",0,F196))</f>
      </c>
      <c r="H196">
        <f>IF(A196="","",TEXT(A196,"yyyy-mm"))</f>
      </c>
    </row>
    <row r="197" ht="18" customHeight="1" spans="1:8" x14ac:dyDescent="0.25">
      <c r="A197" s="5"/>
      <c r="E197" s="6"/>
      <c r="F197" s="6"/>
      <c r="G197" s="6">
        <f>IF(AND(E197="",F197=""),"",G196+IF(E197="",0,E197)-IF(F197="",0,F197))</f>
      </c>
      <c r="H197">
        <f>IF(A197="","",TEXT(A197,"yyyy-mm"))</f>
      </c>
    </row>
    <row r="198" ht="18" customHeight="1" spans="1:8" x14ac:dyDescent="0.25">
      <c r="A198" s="5"/>
      <c r="E198" s="6"/>
      <c r="F198" s="6"/>
      <c r="G198" s="6">
        <f>IF(AND(E198="",F198=""),"",G197+IF(E198="",0,E198)-IF(F198="",0,F198))</f>
      </c>
      <c r="H198">
        <f>IF(A198="","",TEXT(A198,"yyyy-mm"))</f>
      </c>
    </row>
    <row r="199" ht="18" customHeight="1" spans="1:8" x14ac:dyDescent="0.25">
      <c r="A199" s="5"/>
      <c r="E199" s="6"/>
      <c r="F199" s="6"/>
      <c r="G199" s="6">
        <f>IF(AND(E199="",F199=""),"",G198+IF(E199="",0,E199)-IF(F199="",0,F199))</f>
      </c>
      <c r="H199">
        <f>IF(A199="","",TEXT(A199,"yyyy-mm"))</f>
      </c>
    </row>
    <row r="200" ht="18" customHeight="1" spans="1:8" x14ac:dyDescent="0.25">
      <c r="A200" s="5"/>
      <c r="E200" s="6"/>
      <c r="F200" s="6"/>
      <c r="G200" s="6">
        <f>IF(AND(E200="",F200=""),"",G199+IF(E200="",0,E200)-IF(F200="",0,F200))</f>
      </c>
      <c r="H200">
        <f>IF(A200="","",TEXT(A200,"yyyy-mm"))</f>
      </c>
    </row>
    <row r="201" ht="18" customHeight="1" spans="1:8" x14ac:dyDescent="0.25">
      <c r="A201" s="5"/>
      <c r="E201" s="6"/>
      <c r="F201" s="6"/>
      <c r="G201" s="6">
        <f>IF(AND(E201="",F201=""),"",G200+IF(E201="",0,E201)-IF(F201="",0,F201))</f>
      </c>
      <c r="H201">
        <f>IF(A201="","",TEXT(A201,"yyyy-mm"))</f>
      </c>
    </row>
    <row r="202" ht="18" customHeight="1" spans="1:8" x14ac:dyDescent="0.25">
      <c r="A202" s="5"/>
      <c r="E202" s="6"/>
      <c r="F202" s="6"/>
      <c r="G202" s="6">
        <f>IF(AND(E202="",F202=""),"",G201+IF(E202="",0,E202)-IF(F202="",0,F202))</f>
      </c>
      <c r="H202">
        <f>IF(A202="","",TEXT(A202,"yyyy-mm"))</f>
      </c>
    </row>
    <row r="203" ht="18" customHeight="1" spans="1:8" x14ac:dyDescent="0.25">
      <c r="A203" s="5"/>
      <c r="E203" s="6"/>
      <c r="F203" s="6"/>
      <c r="G203" s="6">
        <f>IF(AND(E203="",F203=""),"",G202+IF(E203="",0,E203)-IF(F203="",0,F203))</f>
      </c>
      <c r="H203">
        <f>IF(A203="","",TEXT(A203,"yyyy-mm"))</f>
      </c>
    </row>
    <row r="204" ht="18" customHeight="1" spans="1:8" x14ac:dyDescent="0.25">
      <c r="A204" s="5"/>
      <c r="E204" s="6"/>
      <c r="F204" s="6"/>
      <c r="G204" s="6">
        <f>IF(AND(E204="",F204=""),"",G203+IF(E204="",0,E204)-IF(F204="",0,F204))</f>
      </c>
      <c r="H204">
        <f>IF(A204="","",TEXT(A204,"yyyy-mm"))</f>
      </c>
    </row>
    <row r="205" ht="18" customHeight="1" spans="1:8" x14ac:dyDescent="0.25">
      <c r="A205" s="5"/>
      <c r="E205" s="6"/>
      <c r="F205" s="6"/>
      <c r="G205" s="6">
        <f>IF(AND(E205="",F205=""),"",G204+IF(E205="",0,E205)-IF(F205="",0,F205))</f>
      </c>
      <c r="H205">
        <f>IF(A205="","",TEXT(A205,"yyyy-mm"))</f>
      </c>
    </row>
    <row r="206" ht="18" customHeight="1" spans="1:8" x14ac:dyDescent="0.25">
      <c r="A206" s="5"/>
      <c r="E206" s="6"/>
      <c r="F206" s="6"/>
      <c r="G206" s="6">
        <f>IF(AND(E206="",F206=""),"",G205+IF(E206="",0,E206)-IF(F206="",0,F206))</f>
      </c>
      <c r="H206">
        <f>IF(A206="","",TEXT(A206,"yyyy-mm"))</f>
      </c>
    </row>
    <row r="207" ht="18" customHeight="1" spans="1:8" x14ac:dyDescent="0.25">
      <c r="A207" s="5"/>
      <c r="E207" s="6"/>
      <c r="F207" s="6"/>
      <c r="G207" s="6">
        <f>IF(AND(E207="",F207=""),"",G206+IF(E207="",0,E207)-IF(F207="",0,F207))</f>
      </c>
      <c r="H207">
        <f>IF(A207="","",TEXT(A207,"yyyy-mm"))</f>
      </c>
    </row>
    <row r="208" ht="18" customHeight="1" spans="1:8" x14ac:dyDescent="0.25">
      <c r="A208" s="5"/>
      <c r="E208" s="6"/>
      <c r="F208" s="6"/>
      <c r="G208" s="6">
        <f>IF(AND(E208="",F208=""),"",G207+IF(E208="",0,E208)-IF(F208="",0,F208))</f>
      </c>
      <c r="H208">
        <f>IF(A208="","",TEXT(A208,"yyyy-mm"))</f>
      </c>
    </row>
    <row r="209" ht="18" customHeight="1" spans="1:8" x14ac:dyDescent="0.25">
      <c r="A209" s="5"/>
      <c r="E209" s="6"/>
      <c r="F209" s="6"/>
      <c r="G209" s="6">
        <f>IF(AND(E209="",F209=""),"",G208+IF(E209="",0,E209)-IF(F209="",0,F209))</f>
      </c>
      <c r="H209">
        <f>IF(A209="","",TEXT(A209,"yyyy-mm"))</f>
      </c>
    </row>
    <row r="210" ht="18" customHeight="1" spans="1:8" x14ac:dyDescent="0.25">
      <c r="A210" s="5"/>
      <c r="E210" s="6"/>
      <c r="F210" s="6"/>
      <c r="G210" s="6">
        <f>IF(AND(E210="",F210=""),"",G209+IF(E210="",0,E210)-IF(F210="",0,F210))</f>
      </c>
      <c r="H210">
        <f>IF(A210="","",TEXT(A210,"yyyy-mm"))</f>
      </c>
    </row>
    <row r="211" ht="18" customHeight="1" spans="1:8" x14ac:dyDescent="0.25">
      <c r="A211" s="5"/>
      <c r="E211" s="6"/>
      <c r="F211" s="6"/>
      <c r="G211" s="6">
        <f>IF(AND(E211="",F211=""),"",G210+IF(E211="",0,E211)-IF(F211="",0,F211))</f>
      </c>
      <c r="H211">
        <f>IF(A211="","",TEXT(A211,"yyyy-mm"))</f>
      </c>
    </row>
    <row r="212" ht="18" customHeight="1" spans="1:8" x14ac:dyDescent="0.25">
      <c r="A212" s="5"/>
      <c r="E212" s="6"/>
      <c r="F212" s="6"/>
      <c r="G212" s="6">
        <f>IF(AND(E212="",F212=""),"",G211+IF(E212="",0,E212)-IF(F212="",0,F212))</f>
      </c>
      <c r="H212">
        <f>IF(A212="","",TEXT(A212,"yyyy-mm"))</f>
      </c>
    </row>
    <row r="213" ht="18" customHeight="1" spans="1:8" x14ac:dyDescent="0.25">
      <c r="A213" s="5"/>
      <c r="E213" s="6"/>
      <c r="F213" s="6"/>
      <c r="G213" s="6">
        <f>IF(AND(E213="",F213=""),"",G212+IF(E213="",0,E213)-IF(F213="",0,F213))</f>
      </c>
      <c r="H213">
        <f>IF(A213="","",TEXT(A213,"yyyy-mm"))</f>
      </c>
    </row>
    <row r="214" ht="18" customHeight="1" spans="1:8" x14ac:dyDescent="0.25">
      <c r="A214" s="5"/>
      <c r="E214" s="6"/>
      <c r="F214" s="6"/>
      <c r="G214" s="6">
        <f>IF(AND(E214="",F214=""),"",G213+IF(E214="",0,E214)-IF(F214="",0,F214))</f>
      </c>
      <c r="H214">
        <f>IF(A214="","",TEXT(A214,"yyyy-mm"))</f>
      </c>
    </row>
    <row r="215" ht="18" customHeight="1" spans="1:8" x14ac:dyDescent="0.25">
      <c r="A215" s="5"/>
      <c r="E215" s="6"/>
      <c r="F215" s="6"/>
      <c r="G215" s="6">
        <f>IF(AND(E215="",F215=""),"",G214+IF(E215="",0,E215)-IF(F215="",0,F215))</f>
      </c>
      <c r="H215">
        <f>IF(A215="","",TEXT(A215,"yyyy-mm"))</f>
      </c>
    </row>
    <row r="216" ht="18" customHeight="1" spans="1:8" x14ac:dyDescent="0.25">
      <c r="A216" s="5"/>
      <c r="E216" s="6"/>
      <c r="F216" s="6"/>
      <c r="G216" s="6">
        <f>IF(AND(E216="",F216=""),"",G215+IF(E216="",0,E216)-IF(F216="",0,F216))</f>
      </c>
      <c r="H216">
        <f>IF(A216="","",TEXT(A216,"yyyy-mm"))</f>
      </c>
    </row>
    <row r="217" ht="18" customHeight="1" spans="1:8" x14ac:dyDescent="0.25">
      <c r="A217" s="5"/>
      <c r="E217" s="6"/>
      <c r="F217" s="6"/>
      <c r="G217" s="6">
        <f>IF(AND(E217="",F217=""),"",G216+IF(E217="",0,E217)-IF(F217="",0,F217))</f>
      </c>
      <c r="H217">
        <f>IF(A217="","",TEXT(A217,"yyyy-mm"))</f>
      </c>
    </row>
    <row r="218" ht="18" customHeight="1" spans="1:8" x14ac:dyDescent="0.25">
      <c r="A218" s="5"/>
      <c r="E218" s="6"/>
      <c r="F218" s="6"/>
      <c r="G218" s="6">
        <f>IF(AND(E218="",F218=""),"",G217+IF(E218="",0,E218)-IF(F218="",0,F218))</f>
      </c>
      <c r="H218">
        <f>IF(A218="","",TEXT(A218,"yyyy-mm"))</f>
      </c>
    </row>
    <row r="219" ht="18" customHeight="1" spans="1:8" x14ac:dyDescent="0.25">
      <c r="A219" s="5"/>
      <c r="E219" s="6"/>
      <c r="F219" s="6"/>
      <c r="G219" s="6">
        <f>IF(AND(E219="",F219=""),"",G218+IF(E219="",0,E219)-IF(F219="",0,F219))</f>
      </c>
      <c r="H219">
        <f>IF(A219="","",TEXT(A219,"yyyy-mm"))</f>
      </c>
    </row>
    <row r="220" ht="18" customHeight="1" spans="1:8" x14ac:dyDescent="0.25">
      <c r="A220" s="5"/>
      <c r="E220" s="6"/>
      <c r="F220" s="6"/>
      <c r="G220" s="6">
        <f>IF(AND(E220="",F220=""),"",G219+IF(E220="",0,E220)-IF(F220="",0,F220))</f>
      </c>
      <c r="H220">
        <f>IF(A220="","",TEXT(A220,"yyyy-mm"))</f>
      </c>
    </row>
    <row r="221" ht="18" customHeight="1" spans="1:8" x14ac:dyDescent="0.25">
      <c r="A221" s="5"/>
      <c r="E221" s="6"/>
      <c r="F221" s="6"/>
      <c r="G221" s="6">
        <f>IF(AND(E221="",F221=""),"",G220+IF(E221="",0,E221)-IF(F221="",0,F221))</f>
      </c>
      <c r="H221">
        <f>IF(A221="","",TEXT(A221,"yyyy-mm"))</f>
      </c>
    </row>
    <row r="222" ht="18" customHeight="1" spans="1:8" x14ac:dyDescent="0.25">
      <c r="A222" s="5"/>
      <c r="E222" s="6"/>
      <c r="F222" s="6"/>
      <c r="G222" s="6">
        <f>IF(AND(E222="",F222=""),"",G221+IF(E222="",0,E222)-IF(F222="",0,F222))</f>
      </c>
      <c r="H222">
        <f>IF(A222="","",TEXT(A222,"yyyy-mm"))</f>
      </c>
    </row>
    <row r="223" ht="18" customHeight="1" spans="1:8" x14ac:dyDescent="0.25">
      <c r="A223" s="5"/>
      <c r="E223" s="6"/>
      <c r="F223" s="6"/>
      <c r="G223" s="6">
        <f>IF(AND(E223="",F223=""),"",G222+IF(E223="",0,E223)-IF(F223="",0,F223))</f>
      </c>
      <c r="H223">
        <f>IF(A223="","",TEXT(A223,"yyyy-mm"))</f>
      </c>
    </row>
    <row r="224" ht="18" customHeight="1" spans="1:8" x14ac:dyDescent="0.25">
      <c r="A224" s="5"/>
      <c r="E224" s="6"/>
      <c r="F224" s="6"/>
      <c r="G224" s="6">
        <f>IF(AND(E224="",F224=""),"",G223+IF(E224="",0,E224)-IF(F224="",0,F224))</f>
      </c>
      <c r="H224">
        <f>IF(A224="","",TEXT(A224,"yyyy-mm"))</f>
      </c>
    </row>
    <row r="225" ht="18" customHeight="1" spans="1:8" x14ac:dyDescent="0.25">
      <c r="A225" s="5"/>
      <c r="E225" s="6"/>
      <c r="F225" s="6"/>
      <c r="G225" s="6">
        <f>IF(AND(E225="",F225=""),"",G224+IF(E225="",0,E225)-IF(F225="",0,F225))</f>
      </c>
      <c r="H225">
        <f>IF(A225="","",TEXT(A225,"yyyy-mm"))</f>
      </c>
    </row>
    <row r="226" ht="18" customHeight="1" spans="1:8" x14ac:dyDescent="0.25">
      <c r="A226" s="5"/>
      <c r="E226" s="6"/>
      <c r="F226" s="6"/>
      <c r="G226" s="6">
        <f>IF(AND(E226="",F226=""),"",G225+IF(E226="",0,E226)-IF(F226="",0,F226))</f>
      </c>
      <c r="H226">
        <f>IF(A226="","",TEXT(A226,"yyyy-mm"))</f>
      </c>
    </row>
    <row r="227" ht="18" customHeight="1" spans="1:8" x14ac:dyDescent="0.25">
      <c r="A227" s="5"/>
      <c r="E227" s="6"/>
      <c r="F227" s="6"/>
      <c r="G227" s="6">
        <f>IF(AND(E227="",F227=""),"",G226+IF(E227="",0,E227)-IF(F227="",0,F227))</f>
      </c>
      <c r="H227">
        <f>IF(A227="","",TEXT(A227,"yyyy-mm"))</f>
      </c>
    </row>
    <row r="228" ht="18" customHeight="1" spans="1:8" x14ac:dyDescent="0.25">
      <c r="A228" s="5"/>
      <c r="E228" s="6"/>
      <c r="F228" s="6"/>
      <c r="G228" s="6">
        <f>IF(AND(E228="",F228=""),"",G227+IF(E228="",0,E228)-IF(F228="",0,F228))</f>
      </c>
      <c r="H228">
        <f>IF(A228="","",TEXT(A228,"yyyy-mm"))</f>
      </c>
    </row>
    <row r="229" ht="18" customHeight="1" spans="1:8" x14ac:dyDescent="0.25">
      <c r="A229" s="5"/>
      <c r="E229" s="6"/>
      <c r="F229" s="6"/>
      <c r="G229" s="6">
        <f>IF(AND(E229="",F229=""),"",G228+IF(E229="",0,E229)-IF(F229="",0,F229))</f>
      </c>
      <c r="H229">
        <f>IF(A229="","",TEXT(A229,"yyyy-mm"))</f>
      </c>
    </row>
    <row r="230" ht="18" customHeight="1" spans="1:8" x14ac:dyDescent="0.25">
      <c r="A230" s="5"/>
      <c r="E230" s="6"/>
      <c r="F230" s="6"/>
      <c r="G230" s="6">
        <f>IF(AND(E230="",F230=""),"",G229+IF(E230="",0,E230)-IF(F230="",0,F230))</f>
      </c>
      <c r="H230">
        <f>IF(A230="","",TEXT(A230,"yyyy-mm"))</f>
      </c>
    </row>
    <row r="231" ht="18" customHeight="1" spans="1:8" x14ac:dyDescent="0.25">
      <c r="A231" s="5"/>
      <c r="E231" s="6"/>
      <c r="F231" s="6"/>
      <c r="G231" s="6">
        <f>IF(AND(E231="",F231=""),"",G230+IF(E231="",0,E231)-IF(F231="",0,F231))</f>
      </c>
      <c r="H231">
        <f>IF(A231="","",TEXT(A231,"yyyy-mm"))</f>
      </c>
    </row>
    <row r="232" ht="18" customHeight="1" spans="1:8" x14ac:dyDescent="0.25">
      <c r="A232" s="5"/>
      <c r="E232" s="6"/>
      <c r="F232" s="6"/>
      <c r="G232" s="6">
        <f>IF(AND(E232="",F232=""),"",G231+IF(E232="",0,E232)-IF(F232="",0,F232))</f>
      </c>
      <c r="H232">
        <f>IF(A232="","",TEXT(A232,"yyyy-mm"))</f>
      </c>
    </row>
    <row r="233" ht="18" customHeight="1" spans="1:8" x14ac:dyDescent="0.25">
      <c r="A233" s="5"/>
      <c r="E233" s="6"/>
      <c r="F233" s="6"/>
      <c r="G233" s="6">
        <f>IF(AND(E233="",F233=""),"",G232+IF(E233="",0,E233)-IF(F233="",0,F233))</f>
      </c>
      <c r="H233">
        <f>IF(A233="","",TEXT(A233,"yyyy-mm"))</f>
      </c>
    </row>
    <row r="234" ht="18" customHeight="1" spans="1:8" x14ac:dyDescent="0.25">
      <c r="A234" s="5"/>
      <c r="E234" s="6"/>
      <c r="F234" s="6"/>
      <c r="G234" s="6">
        <f>IF(AND(E234="",F234=""),"",G233+IF(E234="",0,E234)-IF(F234="",0,F234))</f>
      </c>
      <c r="H234">
        <f>IF(A234="","",TEXT(A234,"yyyy-mm"))</f>
      </c>
    </row>
    <row r="235" ht="18" customHeight="1" spans="1:8" x14ac:dyDescent="0.25">
      <c r="A235" s="5"/>
      <c r="E235" s="6"/>
      <c r="F235" s="6"/>
      <c r="G235" s="6">
        <f>IF(AND(E235="",F235=""),"",G234+IF(E235="",0,E235)-IF(F235="",0,F235))</f>
      </c>
      <c r="H235">
        <f>IF(A235="","",TEXT(A235,"yyyy-mm"))</f>
      </c>
    </row>
    <row r="236" ht="18" customHeight="1" spans="1:8" x14ac:dyDescent="0.25">
      <c r="A236" s="5"/>
      <c r="E236" s="6"/>
      <c r="F236" s="6"/>
      <c r="G236" s="6">
        <f>IF(AND(E236="",F236=""),"",G235+IF(E236="",0,E236)-IF(F236="",0,F236))</f>
      </c>
      <c r="H236">
        <f>IF(A236="","",TEXT(A236,"yyyy-mm"))</f>
      </c>
    </row>
    <row r="237" ht="18" customHeight="1" spans="1:8" x14ac:dyDescent="0.25">
      <c r="A237" s="5"/>
      <c r="E237" s="6"/>
      <c r="F237" s="6"/>
      <c r="G237" s="6">
        <f>IF(AND(E237="",F237=""),"",G236+IF(E237="",0,E237)-IF(F237="",0,F237))</f>
      </c>
      <c r="H237">
        <f>IF(A237="","",TEXT(A237,"yyyy-mm"))</f>
      </c>
    </row>
    <row r="238" ht="18" customHeight="1" spans="1:8" x14ac:dyDescent="0.25">
      <c r="A238" s="5"/>
      <c r="E238" s="6"/>
      <c r="F238" s="6"/>
      <c r="G238" s="6">
        <f>IF(AND(E238="",F238=""),"",G237+IF(E238="",0,E238)-IF(F238="",0,F238))</f>
      </c>
      <c r="H238">
        <f>IF(A238="","",TEXT(A238,"yyyy-mm"))</f>
      </c>
    </row>
    <row r="239" ht="18" customHeight="1" spans="1:8" x14ac:dyDescent="0.25">
      <c r="A239" s="5"/>
      <c r="E239" s="6"/>
      <c r="F239" s="6"/>
      <c r="G239" s="6">
        <f>IF(AND(E239="",F239=""),"",G238+IF(E239="",0,E239)-IF(F239="",0,F239))</f>
      </c>
      <c r="H239">
        <f>IF(A239="","",TEXT(A239,"yyyy-mm"))</f>
      </c>
    </row>
    <row r="240" ht="18" customHeight="1" spans="1:8" x14ac:dyDescent="0.25">
      <c r="A240" s="5"/>
      <c r="E240" s="6"/>
      <c r="F240" s="6"/>
      <c r="G240" s="6">
        <f>IF(AND(E240="",F240=""),"",G239+IF(E240="",0,E240)-IF(F240="",0,F240))</f>
      </c>
      <c r="H240">
        <f>IF(A240="","",TEXT(A240,"yyyy-mm"))</f>
      </c>
    </row>
    <row r="241" ht="18" customHeight="1" spans="1:8" x14ac:dyDescent="0.25">
      <c r="A241" s="5"/>
      <c r="E241" s="6"/>
      <c r="F241" s="6"/>
      <c r="G241" s="6">
        <f>IF(AND(E241="",F241=""),"",G240+IF(E241="",0,E241)-IF(F241="",0,F241))</f>
      </c>
      <c r="H241">
        <f>IF(A241="","",TEXT(A241,"yyyy-mm"))</f>
      </c>
    </row>
    <row r="242" ht="18" customHeight="1" spans="1:8" x14ac:dyDescent="0.25">
      <c r="A242" s="5"/>
      <c r="E242" s="6"/>
      <c r="F242" s="6"/>
      <c r="G242" s="6">
        <f>IF(AND(E242="",F242=""),"",G241+IF(E242="",0,E242)-IF(F242="",0,F242))</f>
      </c>
      <c r="H242">
        <f>IF(A242="","",TEXT(A242,"yyyy-mm"))</f>
      </c>
    </row>
    <row r="243" ht="18" customHeight="1" spans="1:8" x14ac:dyDescent="0.25">
      <c r="A243" s="5"/>
      <c r="E243" s="6"/>
      <c r="F243" s="6"/>
      <c r="G243" s="6">
        <f>IF(AND(E243="",F243=""),"",G242+IF(E243="",0,E243)-IF(F243="",0,F243))</f>
      </c>
      <c r="H243">
        <f>IF(A243="","",TEXT(A243,"yyyy-mm"))</f>
      </c>
    </row>
    <row r="244" ht="18" customHeight="1" spans="1:8" x14ac:dyDescent="0.25">
      <c r="A244" s="5"/>
      <c r="E244" s="6"/>
      <c r="F244" s="6"/>
      <c r="G244" s="6">
        <f>IF(AND(E244="",F244=""),"",G243+IF(E244="",0,E244)-IF(F244="",0,F244))</f>
      </c>
      <c r="H244">
        <f>IF(A244="","",TEXT(A244,"yyyy-mm"))</f>
      </c>
    </row>
    <row r="245" ht="18" customHeight="1" spans="1:8" x14ac:dyDescent="0.25">
      <c r="A245" s="5"/>
      <c r="E245" s="6"/>
      <c r="F245" s="6"/>
      <c r="G245" s="6">
        <f>IF(AND(E245="",F245=""),"",G244+IF(E245="",0,E245)-IF(F245="",0,F245))</f>
      </c>
      <c r="H245">
        <f>IF(A245="","",TEXT(A245,"yyyy-mm"))</f>
      </c>
    </row>
    <row r="246" ht="18" customHeight="1" spans="1:8" x14ac:dyDescent="0.25">
      <c r="A246" s="5"/>
      <c r="E246" s="6"/>
      <c r="F246" s="6"/>
      <c r="G246" s="6">
        <f>IF(AND(E246="",F246=""),"",G245+IF(E246="",0,E246)-IF(F246="",0,F246))</f>
      </c>
      <c r="H246">
        <f>IF(A246="","",TEXT(A246,"yyyy-mm"))</f>
      </c>
    </row>
    <row r="247" ht="18" customHeight="1" spans="1:8" x14ac:dyDescent="0.25">
      <c r="A247" s="5"/>
      <c r="E247" s="6"/>
      <c r="F247" s="6"/>
      <c r="G247" s="6">
        <f>IF(AND(E247="",F247=""),"",G246+IF(E247="",0,E247)-IF(F247="",0,F247))</f>
      </c>
      <c r="H247">
        <f>IF(A247="","",TEXT(A247,"yyyy-mm"))</f>
      </c>
    </row>
    <row r="248" ht="18" customHeight="1" spans="1:8" x14ac:dyDescent="0.25">
      <c r="A248" s="5"/>
      <c r="E248" s="6"/>
      <c r="F248" s="6"/>
      <c r="G248" s="6">
        <f>IF(AND(E248="",F248=""),"",G247+IF(E248="",0,E248)-IF(F248="",0,F248))</f>
      </c>
      <c r="H248">
        <f>IF(A248="","",TEXT(A248,"yyyy-mm"))</f>
      </c>
    </row>
    <row r="249" ht="18" customHeight="1" spans="1:8" x14ac:dyDescent="0.25">
      <c r="A249" s="5"/>
      <c r="E249" s="6"/>
      <c r="F249" s="6"/>
      <c r="G249" s="6">
        <f>IF(AND(E249="",F249=""),"",G248+IF(E249="",0,E249)-IF(F249="",0,F249))</f>
      </c>
      <c r="H249">
        <f>IF(A249="","",TEXT(A249,"yyyy-mm"))</f>
      </c>
    </row>
    <row r="250" ht="18" customHeight="1" spans="1:8" x14ac:dyDescent="0.25">
      <c r="A250" s="5"/>
      <c r="E250" s="6"/>
      <c r="F250" s="6"/>
      <c r="G250" s="6">
        <f>IF(AND(E250="",F250=""),"",G249+IF(E250="",0,E250)-IF(F250="",0,F250))</f>
      </c>
      <c r="H250">
        <f>IF(A250="","",TEXT(A250,"yyyy-mm"))</f>
      </c>
    </row>
    <row r="251" ht="18" customHeight="1" spans="1:8" x14ac:dyDescent="0.25">
      <c r="A251" s="5"/>
      <c r="E251" s="6"/>
      <c r="F251" s="6"/>
      <c r="G251" s="6">
        <f>IF(AND(E251="",F251=""),"",G250+IF(E251="",0,E251)-IF(F251="",0,F251))</f>
      </c>
      <c r="H251">
        <f>IF(A251="","",TEXT(A251,"yyyy-mm"))</f>
      </c>
    </row>
    <row r="252" ht="18" customHeight="1" spans="1:8" x14ac:dyDescent="0.25">
      <c r="A252" s="5"/>
      <c r="E252" s="6"/>
      <c r="F252" s="6"/>
      <c r="G252" s="6">
        <f>IF(AND(E252="",F252=""),"",G251+IF(E252="",0,E252)-IF(F252="",0,F252))</f>
      </c>
      <c r="H252">
        <f>IF(A252="","",TEXT(A252,"yyyy-mm"))</f>
      </c>
    </row>
    <row r="253" ht="18" customHeight="1" spans="1:8" x14ac:dyDescent="0.25">
      <c r="A253" s="5"/>
      <c r="E253" s="6"/>
      <c r="F253" s="6"/>
      <c r="G253" s="6">
        <f>IF(AND(E253="",F253=""),"",G252+IF(E253="",0,E253)-IF(F253="",0,F253))</f>
      </c>
      <c r="H253">
        <f>IF(A253="","",TEXT(A253,"yyyy-mm"))</f>
      </c>
    </row>
    <row r="254" ht="18" customHeight="1" spans="1:8" x14ac:dyDescent="0.25">
      <c r="A254" s="5"/>
      <c r="E254" s="6"/>
      <c r="F254" s="6"/>
      <c r="G254" s="6">
        <f>IF(AND(E254="",F254=""),"",G253+IF(E254="",0,E254)-IF(F254="",0,F254))</f>
      </c>
      <c r="H254">
        <f>IF(A254="","",TEXT(A254,"yyyy-mm"))</f>
      </c>
    </row>
    <row r="255" ht="18" customHeight="1" spans="1:8" x14ac:dyDescent="0.25">
      <c r="A255" s="5"/>
      <c r="E255" s="6"/>
      <c r="F255" s="6"/>
      <c r="G255" s="6">
        <f>IF(AND(E255="",F255=""),"",G254+IF(E255="",0,E255)-IF(F255="",0,F255))</f>
      </c>
      <c r="H255">
        <f>IF(A255="","",TEXT(A255,"yyyy-mm"))</f>
      </c>
    </row>
    <row r="256" ht="18" customHeight="1" spans="1:8" x14ac:dyDescent="0.25">
      <c r="A256" s="5"/>
      <c r="E256" s="6"/>
      <c r="F256" s="6"/>
      <c r="G256" s="6">
        <f>IF(AND(E256="",F256=""),"",G255+IF(E256="",0,E256)-IF(F256="",0,F256))</f>
      </c>
      <c r="H256">
        <f>IF(A256="","",TEXT(A256,"yyyy-mm"))</f>
      </c>
    </row>
    <row r="257" ht="18" customHeight="1" spans="1:8" x14ac:dyDescent="0.25">
      <c r="A257" s="5"/>
      <c r="E257" s="6"/>
      <c r="F257" s="6"/>
      <c r="G257" s="6">
        <f>IF(AND(E257="",F257=""),"",G256+IF(E257="",0,E257)-IF(F257="",0,F257))</f>
      </c>
      <c r="H257">
        <f>IF(A257="","",TEXT(A257,"yyyy-mm"))</f>
      </c>
    </row>
    <row r="258" ht="18" customHeight="1" spans="1:8" x14ac:dyDescent="0.25">
      <c r="A258" s="5"/>
      <c r="E258" s="6"/>
      <c r="F258" s="6"/>
      <c r="G258" s="6">
        <f>IF(AND(E258="",F258=""),"",G257+IF(E258="",0,E258)-IF(F258="",0,F258))</f>
      </c>
      <c r="H258">
        <f>IF(A258="","",TEXT(A258,"yyyy-mm"))</f>
      </c>
    </row>
    <row r="259" ht="18" customHeight="1" spans="1:8" x14ac:dyDescent="0.25">
      <c r="A259" s="5"/>
      <c r="E259" s="6"/>
      <c r="F259" s="6"/>
      <c r="G259" s="6">
        <f>IF(AND(E259="",F259=""),"",G258+IF(E259="",0,E259)-IF(F259="",0,F259))</f>
      </c>
      <c r="H259">
        <f>IF(A259="","",TEXT(A259,"yyyy-mm"))</f>
      </c>
    </row>
    <row r="260" ht="18" customHeight="1" spans="1:8" x14ac:dyDescent="0.25">
      <c r="A260" s="5"/>
      <c r="E260" s="6"/>
      <c r="F260" s="6"/>
      <c r="G260" s="6">
        <f>IF(AND(E260="",F260=""),"",G259+IF(E260="",0,E260)-IF(F260="",0,F260))</f>
      </c>
      <c r="H260">
        <f>IF(A260="","",TEXT(A260,"yyyy-mm"))</f>
      </c>
    </row>
    <row r="261" ht="18" customHeight="1" spans="1:8" x14ac:dyDescent="0.25">
      <c r="A261" s="5"/>
      <c r="E261" s="6"/>
      <c r="F261" s="6"/>
      <c r="G261" s="6">
        <f>IF(AND(E261="",F261=""),"",G260+IF(E261="",0,E261)-IF(F261="",0,F261))</f>
      </c>
      <c r="H261">
        <f>IF(A261="","",TEXT(A261,"yyyy-mm"))</f>
      </c>
    </row>
    <row r="262" ht="18" customHeight="1" spans="1:8" x14ac:dyDescent="0.25">
      <c r="A262" s="5"/>
      <c r="E262" s="6"/>
      <c r="F262" s="6"/>
      <c r="G262" s="6">
        <f>IF(AND(E262="",F262=""),"",G261+IF(E262="",0,E262)-IF(F262="",0,F262))</f>
      </c>
      <c r="H262">
        <f>IF(A262="","",TEXT(A262,"yyyy-mm"))</f>
      </c>
    </row>
    <row r="263" ht="18" customHeight="1" spans="1:8" x14ac:dyDescent="0.25">
      <c r="A263" s="5"/>
      <c r="E263" s="6"/>
      <c r="F263" s="6"/>
      <c r="G263" s="6">
        <f>IF(AND(E263="",F263=""),"",G262+IF(E263="",0,E263)-IF(F263="",0,F263))</f>
      </c>
      <c r="H263">
        <f>IF(A263="","",TEXT(A263,"yyyy-mm"))</f>
      </c>
    </row>
    <row r="264" ht="18" customHeight="1" spans="1:8" x14ac:dyDescent="0.25">
      <c r="A264" s="5"/>
      <c r="E264" s="6"/>
      <c r="F264" s="6"/>
      <c r="G264" s="6">
        <f>IF(AND(E264="",F264=""),"",G263+IF(E264="",0,E264)-IF(F264="",0,F264))</f>
      </c>
      <c r="H264">
        <f>IF(A264="","",TEXT(A264,"yyyy-mm"))</f>
      </c>
    </row>
    <row r="265" ht="18" customHeight="1" spans="1:8" x14ac:dyDescent="0.25">
      <c r="A265" s="5"/>
      <c r="E265" s="6"/>
      <c r="F265" s="6"/>
      <c r="G265" s="6">
        <f>IF(AND(E265="",F265=""),"",G264+IF(E265="",0,E265)-IF(F265="",0,F265))</f>
      </c>
      <c r="H265">
        <f>IF(A265="","",TEXT(A265,"yyyy-mm"))</f>
      </c>
    </row>
    <row r="266" ht="18" customHeight="1" spans="1:8" x14ac:dyDescent="0.25">
      <c r="A266" s="5"/>
      <c r="E266" s="6"/>
      <c r="F266" s="6"/>
      <c r="G266" s="6">
        <f>IF(AND(E266="",F266=""),"",G265+IF(E266="",0,E266)-IF(F266="",0,F266))</f>
      </c>
      <c r="H266">
        <f>IF(A266="","",TEXT(A266,"yyyy-mm"))</f>
      </c>
    </row>
    <row r="267" ht="18" customHeight="1" spans="1:8" x14ac:dyDescent="0.25">
      <c r="A267" s="5"/>
      <c r="E267" s="6"/>
      <c r="F267" s="6"/>
      <c r="G267" s="6">
        <f>IF(AND(E267="",F267=""),"",G266+IF(E267="",0,E267)-IF(F267="",0,F267))</f>
      </c>
      <c r="H267">
        <f>IF(A267="","",TEXT(A267,"yyyy-mm"))</f>
      </c>
    </row>
    <row r="268" ht="18" customHeight="1" spans="1:8" x14ac:dyDescent="0.25">
      <c r="A268" s="5"/>
      <c r="E268" s="6"/>
      <c r="F268" s="6"/>
      <c r="G268" s="6">
        <f>IF(AND(E268="",F268=""),"",G267+IF(E268="",0,E268)-IF(F268="",0,F268))</f>
      </c>
      <c r="H268">
        <f>IF(A268="","",TEXT(A268,"yyyy-mm"))</f>
      </c>
    </row>
    <row r="269" ht="18" customHeight="1" spans="1:8" x14ac:dyDescent="0.25">
      <c r="A269" s="5"/>
      <c r="E269" s="6"/>
      <c r="F269" s="6"/>
      <c r="G269" s="6">
        <f>IF(AND(E269="",F269=""),"",G268+IF(E269="",0,E269)-IF(F269="",0,F269))</f>
      </c>
      <c r="H269">
        <f>IF(A269="","",TEXT(A269,"yyyy-mm"))</f>
      </c>
    </row>
    <row r="270" ht="18" customHeight="1" spans="1:8" x14ac:dyDescent="0.25">
      <c r="A270" s="5"/>
      <c r="E270" s="6"/>
      <c r="F270" s="6"/>
      <c r="G270" s="6">
        <f>IF(AND(E270="",F270=""),"",G269+IF(E270="",0,E270)-IF(F270="",0,F270))</f>
      </c>
      <c r="H270">
        <f>IF(A270="","",TEXT(A270,"yyyy-mm"))</f>
      </c>
    </row>
    <row r="271" ht="18" customHeight="1" spans="1:8" x14ac:dyDescent="0.25">
      <c r="A271" s="5"/>
      <c r="E271" s="6"/>
      <c r="F271" s="6"/>
      <c r="G271" s="6">
        <f>IF(AND(E271="",F271=""),"",G270+IF(E271="",0,E271)-IF(F271="",0,F271))</f>
      </c>
      <c r="H271">
        <f>IF(A271="","",TEXT(A271,"yyyy-mm"))</f>
      </c>
    </row>
    <row r="272" ht="18" customHeight="1" spans="1:8" x14ac:dyDescent="0.25">
      <c r="A272" s="5"/>
      <c r="E272" s="6"/>
      <c r="F272" s="6"/>
      <c r="G272" s="6">
        <f>IF(AND(E272="",F272=""),"",G271+IF(E272="",0,E272)-IF(F272="",0,F272))</f>
      </c>
      <c r="H272">
        <f>IF(A272="","",TEXT(A272,"yyyy-mm"))</f>
      </c>
    </row>
    <row r="273" ht="18" customHeight="1" spans="1:8" x14ac:dyDescent="0.25">
      <c r="A273" s="5"/>
      <c r="E273" s="6"/>
      <c r="F273" s="6"/>
      <c r="G273" s="6">
        <f>IF(AND(E273="",F273=""),"",G272+IF(E273="",0,E273)-IF(F273="",0,F273))</f>
      </c>
      <c r="H273">
        <f>IF(A273="","",TEXT(A273,"yyyy-mm"))</f>
      </c>
    </row>
    <row r="274" ht="18" customHeight="1" spans="1:8" x14ac:dyDescent="0.25">
      <c r="A274" s="5"/>
      <c r="E274" s="6"/>
      <c r="F274" s="6"/>
      <c r="G274" s="6">
        <f>IF(AND(E274="",F274=""),"",G273+IF(E274="",0,E274)-IF(F274="",0,F274))</f>
      </c>
      <c r="H274">
        <f>IF(A274="","",TEXT(A274,"yyyy-mm"))</f>
      </c>
    </row>
    <row r="275" ht="18" customHeight="1" spans="1:8" x14ac:dyDescent="0.25">
      <c r="A275" s="5"/>
      <c r="E275" s="6"/>
      <c r="F275" s="6"/>
      <c r="G275" s="6">
        <f>IF(AND(E275="",F275=""),"",G274+IF(E275="",0,E275)-IF(F275="",0,F275))</f>
      </c>
      <c r="H275">
        <f>IF(A275="","",TEXT(A275,"yyyy-mm"))</f>
      </c>
    </row>
    <row r="276" ht="18" customHeight="1" spans="1:8" x14ac:dyDescent="0.25">
      <c r="A276" s="5"/>
      <c r="E276" s="6"/>
      <c r="F276" s="6"/>
      <c r="G276" s="6">
        <f>IF(AND(E276="",F276=""),"",G275+IF(E276="",0,E276)-IF(F276="",0,F276))</f>
      </c>
      <c r="H276">
        <f>IF(A276="","",TEXT(A276,"yyyy-mm"))</f>
      </c>
    </row>
    <row r="277" ht="18" customHeight="1" spans="1:8" x14ac:dyDescent="0.25">
      <c r="A277" s="5"/>
      <c r="E277" s="6"/>
      <c r="F277" s="6"/>
      <c r="G277" s="6">
        <f>IF(AND(E277="",F277=""),"",G276+IF(E277="",0,E277)-IF(F277="",0,F277))</f>
      </c>
      <c r="H277">
        <f>IF(A277="","",TEXT(A277,"yyyy-mm"))</f>
      </c>
    </row>
    <row r="278" ht="18" customHeight="1" spans="1:8" x14ac:dyDescent="0.25">
      <c r="A278" s="5"/>
      <c r="E278" s="6"/>
      <c r="F278" s="6"/>
      <c r="G278" s="6">
        <f>IF(AND(E278="",F278=""),"",G277+IF(E278="",0,E278)-IF(F278="",0,F278))</f>
      </c>
      <c r="H278">
        <f>IF(A278="","",TEXT(A278,"yyyy-mm"))</f>
      </c>
    </row>
    <row r="279" ht="18" customHeight="1" spans="1:8" x14ac:dyDescent="0.25">
      <c r="A279" s="5"/>
      <c r="E279" s="6"/>
      <c r="F279" s="6"/>
      <c r="G279" s="6">
        <f>IF(AND(E279="",F279=""),"",G278+IF(E279="",0,E279)-IF(F279="",0,F279))</f>
      </c>
      <c r="H279">
        <f>IF(A279="","",TEXT(A279,"yyyy-mm"))</f>
      </c>
    </row>
    <row r="280" ht="18" customHeight="1" spans="1:8" x14ac:dyDescent="0.25">
      <c r="A280" s="5"/>
      <c r="E280" s="6"/>
      <c r="F280" s="6"/>
      <c r="G280" s="6">
        <f>IF(AND(E280="",F280=""),"",G279+IF(E280="",0,E280)-IF(F280="",0,F280))</f>
      </c>
      <c r="H280">
        <f>IF(A280="","",TEXT(A280,"yyyy-mm"))</f>
      </c>
    </row>
    <row r="281" ht="18" customHeight="1" spans="1:8" x14ac:dyDescent="0.25">
      <c r="A281" s="5"/>
      <c r="E281" s="6"/>
      <c r="F281" s="6"/>
      <c r="G281" s="6">
        <f>IF(AND(E281="",F281=""),"",G280+IF(E281="",0,E281)-IF(F281="",0,F281))</f>
      </c>
      <c r="H281">
        <f>IF(A281="","",TEXT(A281,"yyyy-mm"))</f>
      </c>
    </row>
    <row r="282" ht="18" customHeight="1" spans="1:8" x14ac:dyDescent="0.25">
      <c r="A282" s="5"/>
      <c r="E282" s="6"/>
      <c r="F282" s="6"/>
      <c r="G282" s="6">
        <f>IF(AND(E282="",F282=""),"",G281+IF(E282="",0,E282)-IF(F282="",0,F282))</f>
      </c>
      <c r="H282">
        <f>IF(A282="","",TEXT(A282,"yyyy-mm"))</f>
      </c>
    </row>
    <row r="283" ht="18" customHeight="1" spans="1:8" x14ac:dyDescent="0.25">
      <c r="A283" s="5"/>
      <c r="E283" s="6"/>
      <c r="F283" s="6"/>
      <c r="G283" s="6">
        <f>IF(AND(E283="",F283=""),"",G282+IF(E283="",0,E283)-IF(F283="",0,F283))</f>
      </c>
      <c r="H283">
        <f>IF(A283="","",TEXT(A283,"yyyy-mm"))</f>
      </c>
    </row>
    <row r="284" ht="18" customHeight="1" spans="1:8" x14ac:dyDescent="0.25">
      <c r="A284" s="5"/>
      <c r="E284" s="6"/>
      <c r="F284" s="6"/>
      <c r="G284" s="6">
        <f>IF(AND(E284="",F284=""),"",G283+IF(E284="",0,E284)-IF(F284="",0,F284))</f>
      </c>
      <c r="H284">
        <f>IF(A284="","",TEXT(A284,"yyyy-mm"))</f>
      </c>
    </row>
    <row r="285" ht="18" customHeight="1" spans="1:8" x14ac:dyDescent="0.25">
      <c r="A285" s="5"/>
      <c r="E285" s="6"/>
      <c r="F285" s="6"/>
      <c r="G285" s="6">
        <f>IF(AND(E285="",F285=""),"",G284+IF(E285="",0,E285)-IF(F285="",0,F285))</f>
      </c>
      <c r="H285">
        <f>IF(A285="","",TEXT(A285,"yyyy-mm"))</f>
      </c>
    </row>
    <row r="286" ht="18" customHeight="1" spans="1:8" x14ac:dyDescent="0.25">
      <c r="A286" s="5"/>
      <c r="E286" s="6"/>
      <c r="F286" s="6"/>
      <c r="G286" s="6">
        <f>IF(AND(E286="",F286=""),"",G285+IF(E286="",0,E286)-IF(F286="",0,F286))</f>
      </c>
      <c r="H286">
        <f>IF(A286="","",TEXT(A286,"yyyy-mm"))</f>
      </c>
    </row>
    <row r="287" ht="18" customHeight="1" spans="1:8" x14ac:dyDescent="0.25">
      <c r="A287" s="5"/>
      <c r="E287" s="6"/>
      <c r="F287" s="6"/>
      <c r="G287" s="6">
        <f>IF(AND(E287="",F287=""),"",G286+IF(E287="",0,E287)-IF(F287="",0,F287))</f>
      </c>
      <c r="H287">
        <f>IF(A287="","",TEXT(A287,"yyyy-mm"))</f>
      </c>
    </row>
    <row r="288" ht="18" customHeight="1" spans="1:8" x14ac:dyDescent="0.25">
      <c r="A288" s="5"/>
      <c r="E288" s="6"/>
      <c r="F288" s="6"/>
      <c r="G288" s="6">
        <f>IF(AND(E288="",F288=""),"",G287+IF(E288="",0,E288)-IF(F288="",0,F288))</f>
      </c>
      <c r="H288">
        <f>IF(A288="","",TEXT(A288,"yyyy-mm"))</f>
      </c>
    </row>
    <row r="289" ht="18" customHeight="1" spans="1:8" x14ac:dyDescent="0.25">
      <c r="A289" s="5"/>
      <c r="E289" s="6"/>
      <c r="F289" s="6"/>
      <c r="G289" s="6">
        <f>IF(AND(E289="",F289=""),"",G288+IF(E289="",0,E289)-IF(F289="",0,F289))</f>
      </c>
      <c r="H289">
        <f>IF(A289="","",TEXT(A289,"yyyy-mm"))</f>
      </c>
    </row>
    <row r="290" ht="18" customHeight="1" spans="1:8" x14ac:dyDescent="0.25">
      <c r="A290" s="5"/>
      <c r="E290" s="6"/>
      <c r="F290" s="6"/>
      <c r="G290" s="6">
        <f>IF(AND(E290="",F290=""),"",G289+IF(E290="",0,E290)-IF(F290="",0,F290))</f>
      </c>
      <c r="H290">
        <f>IF(A290="","",TEXT(A290,"yyyy-mm"))</f>
      </c>
    </row>
    <row r="291" ht="18" customHeight="1" spans="1:8" x14ac:dyDescent="0.25">
      <c r="A291" s="5"/>
      <c r="E291" s="6"/>
      <c r="F291" s="6"/>
      <c r="G291" s="6">
        <f>IF(AND(E291="",F291=""),"",G290+IF(E291="",0,E291)-IF(F291="",0,F291))</f>
      </c>
      <c r="H291">
        <f>IF(A291="","",TEXT(A291,"yyyy-mm"))</f>
      </c>
    </row>
    <row r="292" ht="18" customHeight="1" spans="1:8" x14ac:dyDescent="0.25">
      <c r="A292" s="5"/>
      <c r="E292" s="6"/>
      <c r="F292" s="6"/>
      <c r="G292" s="6">
        <f>IF(AND(E292="",F292=""),"",G291+IF(E292="",0,E292)-IF(F292="",0,F292))</f>
      </c>
      <c r="H292">
        <f>IF(A292="","",TEXT(A292,"yyyy-mm"))</f>
      </c>
    </row>
    <row r="293" ht="18" customHeight="1" spans="1:8" x14ac:dyDescent="0.25">
      <c r="A293" s="5"/>
      <c r="E293" s="6"/>
      <c r="F293" s="6"/>
      <c r="G293" s="6">
        <f>IF(AND(E293="",F293=""),"",G292+IF(E293="",0,E293)-IF(F293="",0,F293))</f>
      </c>
      <c r="H293">
        <f>IF(A293="","",TEXT(A293,"yyyy-mm"))</f>
      </c>
    </row>
    <row r="294" ht="18" customHeight="1" spans="1:8" x14ac:dyDescent="0.25">
      <c r="A294" s="5"/>
      <c r="E294" s="6"/>
      <c r="F294" s="6"/>
      <c r="G294" s="6">
        <f>IF(AND(E294="",F294=""),"",G293+IF(E294="",0,E294)-IF(F294="",0,F294))</f>
      </c>
      <c r="H294">
        <f>IF(A294="","",TEXT(A294,"yyyy-mm"))</f>
      </c>
    </row>
    <row r="295" ht="18" customHeight="1" spans="1:8" x14ac:dyDescent="0.25">
      <c r="A295" s="5"/>
      <c r="E295" s="6"/>
      <c r="F295" s="6"/>
      <c r="G295" s="6">
        <f>IF(AND(E295="",F295=""),"",G294+IF(E295="",0,E295)-IF(F295="",0,F295))</f>
      </c>
      <c r="H295">
        <f>IF(A295="","",TEXT(A295,"yyyy-mm"))</f>
      </c>
    </row>
    <row r="296" ht="18" customHeight="1" spans="1:8" x14ac:dyDescent="0.25">
      <c r="A296" s="5"/>
      <c r="E296" s="6"/>
      <c r="F296" s="6"/>
      <c r="G296" s="6">
        <f>IF(AND(E296="",F296=""),"",G295+IF(E296="",0,E296)-IF(F296="",0,F296))</f>
      </c>
      <c r="H296">
        <f>IF(A296="","",TEXT(A296,"yyyy-mm"))</f>
      </c>
    </row>
    <row r="297" ht="18" customHeight="1" spans="1:8" x14ac:dyDescent="0.25">
      <c r="A297" s="5"/>
      <c r="E297" s="6"/>
      <c r="F297" s="6"/>
      <c r="G297" s="6">
        <f>IF(AND(E297="",F297=""),"",G296+IF(E297="",0,E297)-IF(F297="",0,F297))</f>
      </c>
      <c r="H297">
        <f>IF(A297="","",TEXT(A297,"yyyy-mm"))</f>
      </c>
    </row>
    <row r="298" ht="18" customHeight="1" spans="1:8" x14ac:dyDescent="0.25">
      <c r="A298" s="5"/>
      <c r="E298" s="6"/>
      <c r="F298" s="6"/>
      <c r="G298" s="6">
        <f>IF(AND(E298="",F298=""),"",G297+IF(E298="",0,E298)-IF(F298="",0,F298))</f>
      </c>
      <c r="H298">
        <f>IF(A298="","",TEXT(A298,"yyyy-mm"))</f>
      </c>
    </row>
    <row r="299" ht="18" customHeight="1" spans="1:8" x14ac:dyDescent="0.25">
      <c r="A299" s="5"/>
      <c r="E299" s="6"/>
      <c r="F299" s="6"/>
      <c r="G299" s="6">
        <f>IF(AND(E299="",F299=""),"",G298+IF(E299="",0,E299)-IF(F299="",0,F299))</f>
      </c>
      <c r="H299">
        <f>IF(A299="","",TEXT(A299,"yyyy-mm"))</f>
      </c>
    </row>
    <row r="300" ht="18" customHeight="1" spans="1:8" x14ac:dyDescent="0.25">
      <c r="A300" s="5"/>
      <c r="E300" s="6"/>
      <c r="F300" s="6"/>
      <c r="G300" s="6">
        <f>IF(AND(E300="",F300=""),"",G299+IF(E300="",0,E300)-IF(F300="",0,F300))</f>
      </c>
      <c r="H300">
        <f>IF(A300="","",TEXT(A300,"yyyy-mm"))</f>
      </c>
    </row>
    <row r="301" ht="18" customHeight="1" spans="1:8" x14ac:dyDescent="0.25">
      <c r="A301" s="5"/>
      <c r="E301" s="6"/>
      <c r="F301" s="6"/>
      <c r="G301" s="6">
        <f>IF(AND(E301="",F301=""),"",G300+IF(E301="",0,E301)-IF(F301="",0,F301))</f>
      </c>
      <c r="H301">
        <f>IF(A301="","",TEXT(A301,"yyyy-mm"))</f>
      </c>
    </row>
  </sheetData>
  <autoFilter ref="A1:H1"/>
  <dataValidations count="2">
    <dataValidation type="list" sqref="B2:B301">
      <formula1>"Revenue,Expense"</formula1>
    </dataValidation>
    <dataValidation type="list" allowBlank="1" sqref="C2:C301">
      <formula1>"Subscription-Monthly,Subscription-Yearly,Setup fee ₹499,Other Revenue,Domain,Printing/Poster,Travel/Fuel,Gateway fee,Other Expense"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style="6" customWidth="1"/>
    <col min="3" max="3" width="46" customWidth="1"/>
  </cols>
  <sheetData>
    <row r="1" ht="22" customHeight="1" spans="1:3" x14ac:dyDescent="0.25">
      <c r="A1" s="4" t="s">
        <v>94</v>
      </c>
      <c r="B1" s="8" t="s">
        <v>95</v>
      </c>
      <c r="C1" s="4" t="s">
        <v>96</v>
      </c>
    </row>
    <row r="2" spans="1:3" x14ac:dyDescent="0.25">
      <c r="A2" t="s">
        <v>97</v>
      </c>
      <c r="B2" s="6">
        <f>COUNTIF(Outreach!H2:H301,"Prospect")</f>
      </c>
      <c r="C2" s="3" t="s">
        <v>98</v>
      </c>
    </row>
    <row r="3" spans="1:3" x14ac:dyDescent="0.25">
      <c r="A3" t="s">
        <v>99</v>
      </c>
      <c r="B3" s="6">
        <f>COUNTIF(Outreach!H2:H301,"Lead")</f>
      </c>
      <c r="C3" s="3" t="s">
        <v>37</v>
      </c>
    </row>
    <row r="4" spans="1:3" x14ac:dyDescent="0.25">
      <c r="A4" t="s">
        <v>100</v>
      </c>
      <c r="B4" s="6">
        <f>COUNTIF(Outreach!H2:H301,"Walk-in")</f>
      </c>
      <c r="C4" s="3" t="s">
        <v>37</v>
      </c>
    </row>
    <row r="5" spans="1:3" x14ac:dyDescent="0.25">
      <c r="A5" t="s">
        <v>101</v>
      </c>
      <c r="B5" s="6">
        <f>COUNTIF(Outreach!H2:H301,"Demo")</f>
      </c>
      <c r="C5" s="3" t="s">
        <v>37</v>
      </c>
    </row>
    <row r="6" spans="1:3" x14ac:dyDescent="0.25">
      <c r="A6" t="s">
        <v>102</v>
      </c>
      <c r="B6" s="6">
        <f>COUNTIF(Outreach!H2:H301,"Negotiation")</f>
      </c>
      <c r="C6" s="3" t="s">
        <v>37</v>
      </c>
    </row>
    <row r="7" spans="1:3" x14ac:dyDescent="0.25">
      <c r="A7" t="s">
        <v>103</v>
      </c>
      <c r="B7" s="6">
        <f>COUNTIF(Outreach!H2:H301,"Closed")</f>
      </c>
      <c r="C7" s="3" t="s">
        <v>37</v>
      </c>
    </row>
    <row r="8" spans="1:3" x14ac:dyDescent="0.25">
      <c r="A8" t="s">
        <v>104</v>
      </c>
      <c r="B8" s="6">
        <f>COUNTIF(Outreach!H2:H301,"Lost")</f>
      </c>
      <c r="C8" s="3" t="s">
        <v>37</v>
      </c>
    </row>
    <row r="9" spans="1:3" x14ac:dyDescent="0.25">
      <c r="A9" t="s">
        <v>105</v>
      </c>
      <c r="B9" s="6">
        <f>IFERROR(COUNTIF(Outreach!H2:H301,"Closed")/MAX(1,COUNTIF(Outreach!H2:H301,"Closed")+COUNTIF(Outreach!H2:H301,"Lost")),"")</f>
      </c>
      <c r="C9" s="3" t="s">
        <v>106</v>
      </c>
    </row>
    <row r="10" spans="1:3" x14ac:dyDescent="0.25">
      <c r="A10" t="s">
        <v>107</v>
      </c>
      <c r="B10" s="6">
        <f>COUNTIFS(Customers!D2:D301,"Monthly ₹299",Customers!J2:J301,"Active")</f>
      </c>
      <c r="C10" s="3" t="s">
        <v>108</v>
      </c>
    </row>
    <row r="11" spans="1:3" x14ac:dyDescent="0.25">
      <c r="A11" t="s">
        <v>109</v>
      </c>
      <c r="B11" s="6">
        <f>COUNTIFS(Customers!D2:D301,"Yearly ₹2999",Customers!J2:J301,"Active")</f>
      </c>
      <c r="C11" s="3" t="s">
        <v>37</v>
      </c>
    </row>
    <row r="12" spans="1:3" x14ac:dyDescent="0.25">
      <c r="A12" t="s">
        <v>110</v>
      </c>
      <c r="B12" s="6">
        <f>B10*299+B11*2999/12</f>
      </c>
      <c r="C12" s="3" t="s">
        <v>111</v>
      </c>
    </row>
    <row r="13" spans="1:3" x14ac:dyDescent="0.25">
      <c r="A13" t="s">
        <v>112</v>
      </c>
      <c r="B13" s="6">
        <f>SUMIFS(Finance!E2:E301,Finance!H2:H301,TEXT(TODAY(),"yyyy-mm"))</f>
      </c>
      <c r="C13" s="3" t="s">
        <v>113</v>
      </c>
    </row>
    <row r="14" spans="1:3" x14ac:dyDescent="0.25">
      <c r="A14" t="s">
        <v>114</v>
      </c>
      <c r="B14" s="6">
        <f>SUMIFS(Finance!F2:F301,Finance!H2:H301,TEXT(TODAY(),"yyyy-mm"))</f>
      </c>
      <c r="C14" s="3" t="s">
        <v>37</v>
      </c>
    </row>
    <row r="15" spans="1:3" x14ac:dyDescent="0.25">
      <c r="A15" t="s">
        <v>115</v>
      </c>
      <c r="B15" s="6">
        <f>B13-B14</f>
      </c>
      <c r="C15" s="3" t="s">
        <v>37</v>
      </c>
    </row>
    <row r="16" spans="1:3" x14ac:dyDescent="0.25">
      <c r="A16" t="s">
        <v>116</v>
      </c>
      <c r="B16" s="6">
        <f>COUNTIFS(Customers!F2:F301,"&gt;="&amp;TODAY(),Customers!F2:F301,"&lt;="&amp;TODAY()+7,Customers!J2:J301,"Active")</f>
      </c>
      <c r="C16" s="3" t="s">
        <v>117</v>
      </c>
    </row>
    <row r="17" spans="1:3" x14ac:dyDescent="0.25">
      <c r="A17" t="s">
        <v>118</v>
      </c>
      <c r="B17" s="6">
        <f>COUNTIFS(Customers!F2:F301,"&lt;"&amp;TODAY(),Customers!J2:J301,"Active")</f>
      </c>
      <c r="C17" s="3" t="s">
        <v>119</v>
      </c>
    </row>
    <row r="18" spans="1:3" x14ac:dyDescent="0.25">
      <c r="A18" t="s">
        <v>120</v>
      </c>
      <c r="B18" s="6">
        <f>SUMIFS(Merchant_Stats!F2:F301,Merchant_Stats!A2:A301,"&gt;="&amp;TODAY()-28)</f>
      </c>
      <c r="C18" s="3" t="s">
        <v>37</v>
      </c>
    </row>
    <row r="19" spans="1:3" x14ac:dyDescent="0.25">
      <c r="A19" t="s">
        <v>121</v>
      </c>
      <c r="B19" s="6">
        <f>SUMIFS(Merchant_Stats!G2:G301,Merchant_Stats!A2:A301,"&gt;="&amp;TODAY()-28)</f>
      </c>
      <c r="C19" s="3" t="s">
        <v>122</v>
      </c>
    </row>
    <row r="20" spans="1:3" x14ac:dyDescent="0.25">
      <c r="A20" t="s">
        <v>123</v>
      </c>
      <c r="B20" s="6">
        <f>COUNTIF(Product_Feedback!J2:J301,"Open")</f>
      </c>
      <c r="C20" s="3" t="s">
        <v>124</v>
      </c>
    </row>
    <row r="21" spans="1:3" x14ac:dyDescent="0.25">
      <c r="A21" t="s">
        <v>125</v>
      </c>
      <c r="B21" s="6">
        <f>COUNTIFS(Product_Feedback!I2:I301,"P1-critical",Product_Feedback!J2:J301,"Open")+COUNTIFS(Product_Feedback!I2:I301,"P1-critical",Product_Feedback!J2:J301,"In Progress")</f>
      </c>
      <c r="C21" s="3" t="s">
        <v>126</v>
      </c>
    </row>
    <row r="22" spans="1:3" x14ac:dyDescent="0.25">
      <c r="A22" t="s">
        <v>127</v>
      </c>
      <c r="B22" s="6">
        <f>COUNTIFS(Product_Feedback!G2:G301,"Churn risk",Product_Feedback!J2:J301,"Open")+COUNTIFS(Product_Feedback!G2:G301,"Churn risk",Product_Feedback!J2:J301,"In Progress")</f>
      </c>
      <c r="C22" s="3" t="s">
        <v>119</v>
      </c>
    </row>
    <row r="23" spans="1:3" x14ac:dyDescent="0.25">
      <c r="A23" t="s">
        <v>128</v>
      </c>
      <c r="B23" s="6">
        <f>COUNTIFS(Product_Feedback!J2:J301,"Done",Product_Feedback!B2:B301,"&gt;="&amp;TODAY()-28)</f>
      </c>
      <c r="C23" s="3" t="s">
        <v>129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Outreach</vt:lpstr>
      <vt:lpstr>Merchant_Stats</vt:lpstr>
      <vt:lpstr>Product_Feedback</vt:lpstr>
      <vt:lpstr>Customers</vt:lpstr>
      <vt:lpstr>Finance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StarGate</dc:creator>
  <dc:title/>
  <dc:subject/>
  <dc:description/>
  <cp:keywords/>
  <cp:category/>
  <cp:lastModifiedBy>Unknown</cp:lastModifiedBy>
  <dcterms:created xsi:type="dcterms:W3CDTF">2026-09-14T08:28:40Z</dcterms:created>
  <dcterms:modified xsi:type="dcterms:W3CDTF">2026-09-14T08:28:40Z</dcterms:modified>
</cp:coreProperties>
</file>